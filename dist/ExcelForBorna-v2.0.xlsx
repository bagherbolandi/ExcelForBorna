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sheets/sheet49.xml" ContentType="application/vnd.openxmlformats-officedocument.spreadsheetml.worksheet+xml"/>
  <Override PartName="/xl/tables/table46.xml" ContentType="application/vnd.openxmlformats-officedocument.spreadsheetml.table+xml"/>
  <Override PartName="/xl/worksheets/sheet50.xml" ContentType="application/vnd.openxmlformats-officedocument.spreadsheetml.worksheet+xml"/>
  <Override PartName="/xl/tables/table47.xml" ContentType="application/vnd.openxmlformats-officedocument.spreadsheetml.table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ables/table48.xml" ContentType="application/vnd.openxmlformats-officedocument.spreadsheetml.table+xml"/>
  <Override PartName="/xl/worksheets/sheet5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orkflow" sheetId="2" state="visible" r:id="rId2"/>
    <sheet name="Gate_Status" sheetId="3" state="visible" r:id="rId3"/>
    <sheet name="Access_Control" sheetId="4" state="visible" r:id="rId4"/>
    <sheet name="Orders" sheetId="5" state="visible" r:id="rId5"/>
    <sheet name="Order_Lines" sheetId="6" state="visible" r:id="rId6"/>
    <sheet name="Projects" sheetId="7" state="visible" r:id="rId7"/>
    <sheet name="Feasibility" sheetId="8" state="visible" r:id="rId8"/>
    <sheet name="Gantt" sheetId="9" state="visible" r:id="rId9"/>
    <sheet name="Schedule" sheetId="10" state="visible" r:id="rId10"/>
    <sheet name="Engineering" sheetId="11" state="visible" r:id="rId11"/>
    <sheet name="BOM_Header" sheetId="12" state="visible" r:id="rId12"/>
    <sheet name="BOM_Detail" sheetId="13" state="visible" r:id="rId13"/>
    <sheet name="Time_Study" sheetId="14" state="visible" r:id="rId14"/>
    <sheet name="Materials" sheetId="15" state="visible" r:id="rId15"/>
    <sheet name="Equipment" sheetId="16" state="visible" r:id="rId16"/>
    <sheet name="Project_Equipment" sheetId="17" state="visible" r:id="rId17"/>
    <sheet name="Supplier_Quotes" sheetId="18" state="visible" r:id="rId18"/>
    <sheet name="Supplier_Quote_Lines" sheetId="19" state="visible" r:id="rId19"/>
    <sheet name="Procurement" sheetId="20" state="visible" r:id="rId20"/>
    <sheet name="Purchase_Prices" sheetId="21" state="visible" r:id="rId21"/>
    <sheet name="Planning" sheetId="22" state="visible" r:id="rId22"/>
    <sheet name="Receipts" sheetId="23" state="visible" r:id="rId23"/>
    <sheet name="Inventory" sheetId="24" state="visible" r:id="rId24"/>
    <sheet name="Cost_Lines" sheetId="25" state="visible" r:id="rId25"/>
    <sheet name="Costing" sheetId="26" state="visible" r:id="rId26"/>
    <sheet name="Budget" sheetId="27" state="visible" r:id="rId27"/>
    <sheet name="Payment_Terms" sheetId="28" state="visible" r:id="rId28"/>
    <sheet name="Sales_Quotation" sheetId="29" state="visible" r:id="rId29"/>
    <sheet name="Quotation_Versions" sheetId="30" state="visible" r:id="rId30"/>
    <sheet name="PMO_Summary" sheetId="31" state="visible" r:id="rId31"/>
    <sheet name="Management_Approval" sheetId="32" state="visible" r:id="rId32"/>
    <sheet name="Project_Statuses" sheetId="33" state="visible" r:id="rId33"/>
    <sheet name="Customers" sheetId="34" state="visible" r:id="rId34"/>
    <sheet name="Products" sheetId="35" state="visible" r:id="rId35"/>
    <sheet name="Product_Revisions" sheetId="36" state="visible" r:id="rId36"/>
    <sheet name="Suppliers" sheetId="37" state="visible" r:id="rId37"/>
    <sheet name="Settings" sheetId="38" state="visible" r:id="rId38"/>
    <sheet name="Lists" sheetId="39" state="visible" r:id="rId39"/>
    <sheet name="Statuses" sheetId="40" state="visible" r:id="rId40"/>
    <sheet name="Departments" sheetId="41" state="visible" r:id="rId41"/>
    <sheet name="Roles" sheetId="42" state="visible" r:id="rId42"/>
    <sheet name="Users" sheetId="43" state="visible" r:id="rId43"/>
    <sheet name="Approval_Matrix" sheetId="44" state="visible" r:id="rId44"/>
    <sheet name="RACI" sheetId="45" state="visible" r:id="rId45"/>
    <sheet name="Workflow_History" sheetId="46" state="visible" r:id="rId46"/>
    <sheet name="Change_Log" sheetId="47" state="visible" r:id="rId47"/>
    <sheet name="Issues" sheetId="48" state="visible" r:id="rId48"/>
    <sheet name="Error_Checks" sheetId="49" state="visible" r:id="rId49"/>
    <sheet name="Test_Results" sheetId="50" state="visible" r:id="rId50"/>
    <sheet name="_Trace" sheetId="51" state="visible" r:id="rId51"/>
    <sheet name="_NamedRanges" sheetId="52" state="visible" r:id="rId52"/>
    <sheet name="Report_Quotation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#,##0.##"/>
    <numFmt numFmtId="167" formatCode="mm/dd"/>
    <numFmt numFmtId="168" formatCode="#,##0.00##"/>
  </numFmts>
  <fonts count="4">
    <font>
      <name val="Calibri"/>
      <family val="2"/>
      <color theme="1"/>
      <sz val="11"/>
      <scheme val="minor"/>
    </font>
    <font>
      <name val="Calibri"/>
      <b val="1"/>
      <color rgb="000F4C81"/>
      <sz val="14"/>
    </font>
    <font>
      <name val="Calibri"/>
      <i val="1"/>
      <color rgb="006B7280"/>
      <sz val="9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3F7F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165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165" fontId="0" fillId="3" borderId="1" pivotButton="0" quotePrefix="0" xfId="0"/>
    <xf numFmtId="1" fontId="0" fillId="3" borderId="1" pivotButton="0" quotePrefix="0" xfId="0"/>
    <xf numFmtId="166" fontId="0" fillId="3" borderId="1" pivotButton="0" quotePrefix="0" xfId="0"/>
    <xf numFmtId="167" fontId="0" fillId="0" borderId="0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/>
    </xf>
    <xf numFmtId="168" fontId="0" fillId="0" borderId="1" pivotButton="0" quotePrefix="0" xfId="0"/>
    <xf numFmtId="168" fontId="0" fillId="3" borderId="1" pivotButton="0" quotePrefix="0" xfId="0"/>
  </cellXfs>
  <cellStyles count="1">
    <cellStyle name="Normal" xfId="0" builtinId="0" hidden="0"/>
  </cellStyles>
  <dxfs count="6">
    <dxf>
      <font>
        <b val="1"/>
        <color rgb="001E7B3C"/>
      </font>
      <fill>
        <patternFill patternType="solid">
          <fgColor rgb="00E6F4EA"/>
        </patternFill>
      </fill>
    </dxf>
    <dxf>
      <font>
        <b val="1"/>
        <color rgb="009C0006"/>
      </font>
      <fill>
        <patternFill patternType="solid">
          <fgColor rgb="00FDE7E9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تعداد پروژه‌های تکمیل‌کننده هر مرحله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'Dashboard'!$A$38:$A$46</f>
            </numRef>
          </cat>
          <val>
            <numRef>
              <f>'Dashboard'!$B$38:$B$46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 پروژه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درصد پیشروی پروژه‌ها در گردش کار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'Gate_Status'!$B$3:$B$4</f>
            </numRef>
          </cat>
          <val>
            <numRef>
              <f>'Gate_Status'!$W$3:$W$4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2</row>
      <rowOff>0</rowOff>
    </from>
    <ext cx="86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20</row>
      <rowOff>0</rowOff>
    </from>
    <ext cx="504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ateStatus" displayName="tblGateStatus" ref="A2:X4" headerRowCount="1">
  <autoFilter ref="A2:X4"/>
  <tableColumns count="24">
    <tableColumn id="1" name="System_ID"/>
    <tableColumn id="2" name="Project_ID"/>
    <tableColumn id="3" name="Order_ID"/>
    <tableColumn id="4" name="S1_Sales_Ready"/>
    <tableColumn id="5" name="S2_PM_Feasibility"/>
    <tableColumn id="6" name="S3_Engineering"/>
    <tableColumn id="7" name="S4_Commercial"/>
    <tableColumn id="8" name="S5_Planning_Warehouse"/>
    <tableColumn id="9" name="S6_Finance"/>
    <tableColumn id="10" name="S7_Sales_Pricing"/>
    <tableColumn id="11" name="S8_PMO_Summary"/>
    <tableColumn id="12" name="Decision_Recorded"/>
    <tableColumn id="13" name="Decision_Text"/>
    <tableColumn id="14" name="G_PM"/>
    <tableColumn id="15" name="G_Eng"/>
    <tableColumn id="16" name="G_Com"/>
    <tableColumn id="17" name="G_Pln"/>
    <tableColumn id="18" name="G_Fin"/>
    <tableColumn id="19" name="G_Price"/>
    <tableColumn id="20" name="G_PMO"/>
    <tableColumn id="21" name="G_Senior"/>
    <tableColumn id="22" name="Stages_Completed"/>
    <tableColumn id="23" name="Completion_Percent"/>
    <tableColumn id="24" name="Current_St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ccessControl" displayName="tblAccessControl" ref="A2:F11" headerRowCount="1">
  <autoFilter ref="A2:F11"/>
  <tableColumns count="6">
    <tableColumn id="1" name="Role_ID"/>
    <tableColumn id="2" name="Role_Name"/>
    <tableColumn id="3" name="Department_ID"/>
    <tableColumn id="4" name="Edit_Password"/>
    <tableColumn id="5" name="Scope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Orders" displayName="tblOrders" ref="A2:U5" headerRowCount="1">
  <autoFilter ref="A2:U5"/>
  <tableColumns count="21">
    <tableColumn id="1" name="System_ID"/>
    <tableColumn id="2" name="Customer_ID"/>
    <tableColumn id="3" name="Order_Date"/>
    <tableColumn id="4" name="Requested_Delivery_Date"/>
    <tableColumn id="5" name="Request_Type"/>
    <tableColumn id="6" name="Total_Qty"/>
    <tableColumn id="7" name="Delivery_Terms"/>
    <tableColumn id="8" name="Payment_Terms"/>
    <tableColumn id="9" name="Validity_Days"/>
    <tableColumn id="10" name="Confidentiality_Level"/>
    <tableColumn id="11" name="Sales_Responsible"/>
    <tableColumn id="12" name="Doc_Ref"/>
    <tableColumn id="13" name="Status_ID"/>
    <tableColumn id="14" name="CO_01_Customer_Valid"/>
    <tableColumn id="15" name="CO_02_Qty_Defined"/>
    <tableColumn id="16" name="CO_03_Delivery_Defined"/>
    <tableColumn id="17" name="CO_04_Payment_Defined"/>
    <tableColumn id="18" name="Ready_Flag"/>
    <tableColumn id="19" name="Duplicate_Flag"/>
    <tableColumn id="20" name="Create_Date"/>
    <tableColumn id="21" name="Created_B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OrderLines" displayName="tblOrderLines" ref="A2:I5" headerRowCount="1">
  <autoFilter ref="A2:I5"/>
  <tableColumns count="9">
    <tableColumn id="1" name="System_ID"/>
    <tableColumn id="2" name="Order_ID"/>
    <tableColumn id="3" name="Line_No"/>
    <tableColumn id="4" name="Product_ID"/>
    <tableColumn id="5" name="Quantity"/>
    <tableColumn id="6" name="UoM"/>
    <tableColumn id="7" name="Latest_FLAG"/>
    <tableColumn id="8" name="Create_Date"/>
    <tableColumn id="9" name="Created_B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Projects" displayName="tblProjects" ref="A2:Q4" headerRowCount="1">
  <autoFilter ref="A2:Q4"/>
  <tableColumns count="17">
    <tableColumn id="1" name="System_ID"/>
    <tableColumn id="2" name="Project_Code"/>
    <tableColumn id="3" name="Order_ID"/>
    <tableColumn id="4" name="Customer_ID"/>
    <tableColumn id="5" name="Product_ID"/>
    <tableColumn id="6" name="Project_Name"/>
    <tableColumn id="7" name="Project_Manager"/>
    <tableColumn id="8" name="Start_Date"/>
    <tableColumn id="9" name="Due_Date"/>
    <tableColumn id="10" name="Priority"/>
    <tableColumn id="11" name="Status_ID"/>
    <tableColumn id="12" name="Progress_%"/>
    <tableColumn id="13" name="Sponsor"/>
    <tableColumn id="14" name="Team_List"/>
    <tableColumn id="15" name="Overdue_Flag"/>
    <tableColumn id="16" name="Create_Date"/>
    <tableColumn id="17" name="Created_B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Feasibility" displayName="tblFeasibility" ref="A2:P4" headerRowCount="1">
  <autoFilter ref="A2:P4"/>
  <tableColumns count="16">
    <tableColumn id="1" name="System_ID"/>
    <tableColumn id="2" name="Project_ID"/>
    <tableColumn id="3" name="Version"/>
    <tableColumn id="4" name="Market_Score"/>
    <tableColumn id="5" name="Technical_Score"/>
    <tableColumn id="6" name="Economic_Score"/>
    <tableColumn id="7" name="Schedule_Score"/>
    <tableColumn id="8" name="Risk_Score"/>
    <tableColumn id="9" name="Weighted_Score"/>
    <tableColumn id="10" name="Risk_Level"/>
    <tableColumn id="11" name="Feasibility_Result"/>
    <tableColumn id="12" name="Go_NoGo_Recommendation"/>
    <tableColumn id="13" name="Completed_Flag"/>
    <tableColumn id="14" name="Status_ID"/>
    <tableColumn id="15" name="Create_Date"/>
    <tableColumn id="16" name="Created_B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Schedule" displayName="tblSchedule" ref="A2:M13" headerRowCount="1">
  <autoFilter ref="A2:M13"/>
  <tableColumns count="13">
    <tableColumn id="1" name="System_ID"/>
    <tableColumn id="2" name="Project_ID"/>
    <tableColumn id="3" name="Activity"/>
    <tableColumn id="4" name="Start_Date"/>
    <tableColumn id="5" name="End_Date"/>
    <tableColumn id="6" name="Duration"/>
    <tableColumn id="7" name="Responsible"/>
    <tableColumn id="8" name="Dependency"/>
    <tableColumn id="9" name="Status_ID"/>
    <tableColumn id="10" name="Delay_Days"/>
    <tableColumn id="11" name="Delay_Reason"/>
    <tableColumn id="12" name="Create_Date"/>
    <tableColumn id="13" name="Created_B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Engineering" displayName="tblEngineering" ref="A2:Q4" headerRowCount="1">
  <autoFilter ref="A2:Q4"/>
  <tableColumns count="17">
    <tableColumn id="1" name="System_ID"/>
    <tableColumn id="2" name="Project_ID"/>
    <tableColumn id="3" name="Product_ID"/>
    <tableColumn id="4" name="Product_Revision_ID"/>
    <tableColumn id="5" name="Drawing_No"/>
    <tableColumn id="6" name="Drawing_Revision"/>
    <tableColumn id="7" name="BOM_Revision_ID"/>
    <tableColumn id="8" name="Status_ID"/>
    <tableColumn id="9" name="Process"/>
    <tableColumn id="10" name="Machine"/>
    <tableColumn id="11" name="Tooling"/>
    <tableColumn id="12" name="Packaging"/>
    <tableColumn id="13" name="Engineering_Notes"/>
    <tableColumn id="14" name="Submitted_By"/>
    <tableColumn id="15" name="Approved_By"/>
    <tableColumn id="16" name="Create_Date"/>
    <tableColumn id="17" name="Created_B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OMHeader" displayName="tblBOMHeader" ref="A2:L5" headerRowCount="1">
  <autoFilter ref="A2:L5"/>
  <tableColumns count="12">
    <tableColumn id="1" name="System_ID"/>
    <tableColumn id="2" name="BOM_ID"/>
    <tableColumn id="3" name="Product_Revision_ID"/>
    <tableColumn id="4" name="Revision_No"/>
    <tableColumn id="5" name="Rev_Date"/>
    <tableColumn id="6" name="Change_Reason"/>
    <tableColumn id="7" name="Changed_By"/>
    <tableColumn id="8" name="Approved_By"/>
    <tableColumn id="9" name="Status_ID"/>
    <tableColumn id="10" name="Is_Active"/>
    <tableColumn id="11" name="Create_Date"/>
    <tableColumn id="12" name="Created_B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BOMDetail" displayName="tblBOMDetail" ref="A2:O25" headerRowCount="1">
  <autoFilter ref="A2:O25"/>
  <tableColumns count="15">
    <tableColumn id="1" name="System_ID"/>
    <tableColumn id="2" name="BOM_Revision_ID"/>
    <tableColumn id="3" name="Parent_BOM_Line_ID"/>
    <tableColumn id="4" name="Level_No"/>
    <tableColumn id="5" name="Sequence_No"/>
    <tableColumn id="6" name="Material_ID"/>
    <tableColumn id="7" name="Qty_Per"/>
    <tableColumn id="8" name="UoM"/>
    <tableColumn id="9" name="Scrap_%"/>
    <tableColumn id="10" name="Net_Qty"/>
    <tableColumn id="11" name="Gross_Qty"/>
    <tableColumn id="12" name="Make_Buy"/>
    <tableColumn id="13" name="Approved_Supplier"/>
    <tableColumn id="14" name="Create_Date"/>
    <tableColumn id="15" name="Created_B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TimeStudy" displayName="tblTimeStudy" ref="A2:P7" headerRowCount="1">
  <autoFilter ref="A2:P7"/>
  <tableColumns count="16">
    <tableColumn id="1" name="System_ID"/>
    <tableColumn id="2" name="Project_ID"/>
    <tableColumn id="3" name="Product_ID"/>
    <tableColumn id="4" name="Operation"/>
    <tableColumn id="5" name="Work_Center"/>
    <tableColumn id="6" name="Setup_Min"/>
    <tableColumn id="7" name="Std_Min_Per_Unit"/>
    <tableColumn id="8" name="Operators"/>
    <tableColumn id="9" name="Scrap_Allowance_%"/>
    <tableColumn id="10" name="Order_Qty"/>
    <tableColumn id="11" name="Man_Min_Total"/>
    <tableColumn id="12" name="Man_Hours_Total"/>
    <tableColumn id="13" name="Man_Hours_Per_Unit"/>
    <tableColumn id="14" name="Status_ID"/>
    <tableColumn id="15" name="Create_Date"/>
    <tableColumn id="16" name="Created_B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Materials" displayName="tblMaterials" ref="A2:I9" headerRowCount="1">
  <autoFilter ref="A2:I9"/>
  <tableColumns count="9">
    <tableColumn id="1" name="System_ID"/>
    <tableColumn id="2" name="Material_Code"/>
    <tableColumn id="3" name="Material_Description"/>
    <tableColumn id="4" name="Material_Type"/>
    <tableColumn id="5" name="Specification"/>
    <tableColumn id="6" name="UoM"/>
    <tableColumn id="7" name="Make_Buy_Default"/>
    <tableColumn id="8" name="Preferred_Supplier"/>
    <tableColumn id="9" name="Is_Activ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Equipment" displayName="tblEquipment" ref="A2:J6" headerRowCount="1">
  <autoFilter ref="A2:J6"/>
  <tableColumns count="10">
    <tableColumn id="1" name="System_ID"/>
    <tableColumn id="2" name="Equipment_Code"/>
    <tableColumn id="3" name="Equipment_Name"/>
    <tableColumn id="4" name="Specification"/>
    <tableColumn id="5" name="UoM"/>
    <tableColumn id="6" name="Origin"/>
    <tableColumn id="7" name="Lead_Time_Days"/>
    <tableColumn id="8" name="Estimated_Price"/>
    <tableColumn id="9" name="Currency"/>
    <tableColumn id="10" name="Is_Activ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ProjectEquipment" displayName="tblProjectEquipment" ref="A2:Q5" headerRowCount="1">
  <autoFilter ref="A2:Q5"/>
  <tableColumns count="17">
    <tableColumn id="1" name="System_ID"/>
    <tableColumn id="2" name="Project_ID"/>
    <tableColumn id="3" name="Equipment_ID"/>
    <tableColumn id="4" name="Qty"/>
    <tableColumn id="5" name="Need_Date"/>
    <tableColumn id="6" name="Engineering_Notes"/>
    <tableColumn id="7" name="Unit_Price_Quote"/>
    <tableColumn id="8" name="Currency"/>
    <tableColumn id="9" name="Fx_Rate"/>
    <tableColumn id="10" name="Unit_Price_IRR"/>
    <tableColumn id="11" name="Transport_Cost"/>
    <tableColumn id="12" name="Installation_Cost"/>
    <tableColumn id="13" name="Total_Cost_IRR"/>
    <tableColumn id="14" name="Priced_Flag"/>
    <tableColumn id="15" name="Status_ID"/>
    <tableColumn id="16" name="Create_Date"/>
    <tableColumn id="17" name="Created_B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SupplierQuotes" displayName="tblSupplierQuotes" ref="A2:J6" headerRowCount="1">
  <autoFilter ref="A2:J6"/>
  <tableColumns count="10">
    <tableColumn id="1" name="System_ID"/>
    <tableColumn id="2" name="Project_ID"/>
    <tableColumn id="3" name="Material_ID"/>
    <tableColumn id="4" name="Qty_Required"/>
    <tableColumn id="5" name="Quoted_Date"/>
    <tableColumn id="6" name="Valid_Until"/>
    <tableColumn id="7" name="Status_ID"/>
    <tableColumn id="8" name="Selected_Line_ID"/>
    <tableColumn id="9" name="Create_Date"/>
    <tableColumn id="10" name="Created_B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SupplierQuoteLines" displayName="tblSupplierQuoteLines" ref="A2:W10" headerRowCount="1">
  <autoFilter ref="A2:W10"/>
  <tableColumns count="23">
    <tableColumn id="1" name="System_ID"/>
    <tableColumn id="2" name="Supplier_Quote_ID"/>
    <tableColumn id="3" name="Supplier_ID"/>
    <tableColumn id="4" name="Unit_Price"/>
    <tableColumn id="5" name="Currency"/>
    <tableColumn id="6" name="MOQ"/>
    <tableColumn id="7" name="Lead_Time_Days"/>
    <tableColumn id="8" name="Payment_Terms"/>
    <tableColumn id="9" name="Incoterm"/>
    <tableColumn id="10" name="Freight"/>
    <tableColumn id="11" name="Valid_To"/>
    <tableColumn id="12" name="Price_Source"/>
    <tableColumn id="13" name="Price_Confirm_Status"/>
    <tableColumn id="14" name="Quality_Score"/>
    <tableColumn id="15" name="OnTime_Score"/>
    <tableColumn id="16" name="Capacity_Score"/>
    <tableColumn id="17" name="Risk_Score"/>
    <tableColumn id="18" name="Longevity_Score"/>
    <tableColumn id="19" name="Score_Total"/>
    <tableColumn id="20" name="Selected"/>
    <tableColumn id="21" name="Landed_Estimate"/>
    <tableColumn id="22" name="Create_Date"/>
    <tableColumn id="23" name="Created_By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Procurement" displayName="tblProcurement" ref="A2:Z6" headerRowCount="1">
  <autoFilter ref="A2:Z6"/>
  <tableColumns count="26">
    <tableColumn id="1" name="System_ID"/>
    <tableColumn id="2" name="Project_ID"/>
    <tableColumn id="3" name="Material_ID"/>
    <tableColumn id="4" name="Supplier_ID"/>
    <tableColumn id="5" name="Buyer"/>
    <tableColumn id="6" name="Currency"/>
    <tableColumn id="7" name="Fx_Rate"/>
    <tableColumn id="8" name="Buy_Qty"/>
    <tableColumn id="9" name="Unit_Purchase_Price"/>
    <tableColumn id="10" name="MOQ_Applied"/>
    <tableColumn id="11" name="Lead_Time_Days"/>
    <tableColumn id="12" name="Payment_Terms"/>
    <tableColumn id="13" name="Incoterm"/>
    <tableColumn id="14" name="Freight_Per_Unit"/>
    <tableColumn id="15" name="Insurance_Per_Unit"/>
    <tableColumn id="16" name="Customs_Per_Unit"/>
    <tableColumn id="17" name="Handling_Per_Unit"/>
    <tableColumn id="18" name="Other_Per_Unit"/>
    <tableColumn id="19" name="Landed_Cost_Unit"/>
    <tableColumn id="20" name="Price_Date"/>
    <tableColumn id="21" name="Price_Source"/>
    <tableColumn id="22" name="Price_Valid_To"/>
    <tableColumn id="23" name="Price_Expired_Flag"/>
    <tableColumn id="24" name="Status_ID"/>
    <tableColumn id="25" name="Create_Date"/>
    <tableColumn id="26" name="Created_By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PurchasePrices" displayName="tblPurchasePrices" ref="A2:V10" headerRowCount="1">
  <autoFilter ref="A2:V10"/>
  <tableColumns count="22">
    <tableColumn id="1" name="System_ID"/>
    <tableColumn id="2" name="Material_ID"/>
    <tableColumn id="3" name="Supplier_ID"/>
    <tableColumn id="4" name="Revision"/>
    <tableColumn id="5" name="Price_Date"/>
    <tableColumn id="6" name="Price_Source"/>
    <tableColumn id="7" name="Currency"/>
    <tableColumn id="8" name="Fx_Rate"/>
    <tableColumn id="9" name="Unit_Price"/>
    <tableColumn id="10" name="Freight_Per_Unit"/>
    <tableColumn id="11" name="Insurance_Per_Unit"/>
    <tableColumn id="12" name="Customs_Per_Unit"/>
    <tableColumn id="13" name="Handling_Per_Unit"/>
    <tableColumn id="14" name="Other_Per_Unit"/>
    <tableColumn id="15" name="Landed_Cost_Unit"/>
    <tableColumn id="16" name="Valid_From"/>
    <tableColumn id="17" name="Valid_To"/>
    <tableColumn id="18" name="Expired_Flag"/>
    <tableColumn id="19" name="Status_ID"/>
    <tableColumn id="20" name="Approved_By"/>
    <tableColumn id="21" name="Create_Date"/>
    <tableColumn id="22" name="Created_By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Planning" displayName="tblPlanning" ref="A2:V15" headerRowCount="1">
  <autoFilter ref="A2:V15"/>
  <tableColumns count="22">
    <tableColumn id="1" name="System_ID"/>
    <tableColumn id="2" name="Project_ID"/>
    <tableColumn id="3" name="BOM_Revision_ID"/>
    <tableColumn id="4" name="BOM_Line_ID"/>
    <tableColumn id="5" name="Product_ID"/>
    <tableColumn id="6" name="Material_ID"/>
    <tableColumn id="7" name="Make_Buy"/>
    <tableColumn id="8" name="Order_Qty"/>
    <tableColumn id="9" name="Bom_Qty_Per"/>
    <tableColumn id="10" name="Scrap_%"/>
    <tableColumn id="11" name="Required_Qty"/>
    <tableColumn id="12" name="Stock_On_Hand"/>
    <tableColumn id="13" name="Reserved"/>
    <tableColumn id="14" name="Deficit"/>
    <tableColumn id="15" name="Buy_Qty"/>
    <tableColumn id="16" name="Lead_Time_Days"/>
    <tableColumn id="17" name="Supply_Date"/>
    <tableColumn id="18" name="Status_ID"/>
    <tableColumn id="19" name="Need_Date"/>
    <tableColumn id="20" name="Suggested_Order_Date"/>
    <tableColumn id="21" name="Create_Date"/>
    <tableColumn id="22" name="Created_By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Receipts" displayName="tblReceipts" ref="A2:J4" headerRowCount="1">
  <autoFilter ref="A2:J4"/>
  <tableColumns count="10">
    <tableColumn id="1" name="System_ID"/>
    <tableColumn id="2" name="Planning_ID"/>
    <tableColumn id="3" name="Project_ID"/>
    <tableColumn id="4" name="Material_ID"/>
    <tableColumn id="5" name="Receipt_Date"/>
    <tableColumn id="6" name="Qty_Received"/>
    <tableColumn id="7" name="Received_By"/>
    <tableColumn id="8" name="QC_Status"/>
    <tableColumn id="9" name="Create_Date"/>
    <tableColumn id="10" name="Created_By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Inventory" displayName="tblInventory" ref="A2:D9" headerRowCount="1">
  <autoFilter ref="A2:D9"/>
  <tableColumns count="4">
    <tableColumn id="1" name="System_ID"/>
    <tableColumn id="2" name="Material_ID"/>
    <tableColumn id="3" name="Stock_On_Hand"/>
    <tableColumn id="4" name="Reserved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blCostLines" displayName="tblCostLines" ref="A2:N20" headerRowCount="1">
  <autoFilter ref="A2:N20"/>
  <tableColumns count="14">
    <tableColumn id="1" name="System_ID"/>
    <tableColumn id="2" name="Costing_ID"/>
    <tableColumn id="3" name="Project_ID"/>
    <tableColumn id="4" name="Category"/>
    <tableColumn id="5" name="Material_ID"/>
    <tableColumn id="6" name="Supplier_ID"/>
    <tableColumn id="7" name="Qty"/>
    <tableColumn id="8" name="UoM"/>
    <tableColumn id="9" name="Unit_Cost"/>
    <tableColumn id="10" name="Amount"/>
    <tableColumn id="11" name="Source_Ref"/>
    <tableColumn id="12" name="Memo"/>
    <tableColumn id="13" name="Create_Date"/>
    <tableColumn id="14" name="Created_By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lCosting" displayName="tblCosting" ref="A2:U3" headerRowCount="1">
  <autoFilter ref="A2:U3"/>
  <tableColumns count="21">
    <tableColumn id="1" name="System_ID"/>
    <tableColumn id="2" name="Project_ID"/>
    <tableColumn id="3" name="Revision"/>
    <tableColumn id="4" name="Status_ID"/>
    <tableColumn id="5" name="Cost_Basis"/>
    <tableColumn id="6" name="Qty_Basis"/>
    <tableColumn id="7" name="Direct_Material"/>
    <tableColumn id="8" name="Purchased_Parts"/>
    <tableColumn id="9" name="Direct_Labor"/>
    <tableColumn id="10" name="Mfg_Overhead"/>
    <tableColumn id="11" name="Scrap"/>
    <tableColumn id="12" name="Packaging"/>
    <tableColumn id="13" name="Logistics"/>
    <tableColumn id="14" name="Tooling"/>
    <tableColumn id="15" name="SG&amp;A"/>
    <tableColumn id="16" name="Other_Allocated"/>
    <tableColumn id="17" name="Total_Cost"/>
    <tableColumn id="18" name="Cost_Per_Unit"/>
    <tableColumn id="19" name="Approved_By"/>
    <tableColumn id="20" name="Create_Date"/>
    <tableColumn id="21" name="Created_By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blBudget" displayName="tblBudget" ref="A2:V3" headerRowCount="1">
  <autoFilter ref="A2:V3"/>
  <tableColumns count="22">
    <tableColumn id="1" name="System_ID"/>
    <tableColumn id="2" name="Project_ID"/>
    <tableColumn id="3" name="Revision"/>
    <tableColumn id="4" name="Period"/>
    <tableColumn id="5" name="Budget_Material"/>
    <tableColumn id="6" name="Budget_Labor"/>
    <tableColumn id="7" name="Budget_Overhead"/>
    <tableColumn id="8" name="Budget_Procurement"/>
    <tableColumn id="9" name="Budget_Logistics"/>
    <tableColumn id="10" name="Budget_Tooling"/>
    <tableColumn id="11" name="Budget_Other"/>
    <tableColumn id="12" name="Total_Budget"/>
    <tableColumn id="13" name="Actual_Material"/>
    <tableColumn id="14" name="Actual_Labor"/>
    <tableColumn id="15" name="Actual_Overhead"/>
    <tableColumn id="16" name="Actual_Logistics"/>
    <tableColumn id="17" name="Actual_Other"/>
    <tableColumn id="18" name="Actual_Total"/>
    <tableColumn id="19" name="Variance_Total"/>
    <tableColumn id="20" name="Budget_vs_Actual"/>
    <tableColumn id="21" name="Create_Date"/>
    <tableColumn id="22" name="Created_B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blPaymentTerms" displayName="tblPaymentTerms" ref="A2:N3" headerRowCount="1">
  <autoFilter ref="A2:N3"/>
  <tableColumns count="14">
    <tableColumn id="1" name="System_ID"/>
    <tableColumn id="2" name="Quotation_ID"/>
    <tableColumn id="3" name="Advance_Payment_%"/>
    <tableColumn id="4" name="Payment_On_Delivery_%"/>
    <tableColumn id="5" name="Credit_Days"/>
    <tableColumn id="6" name="Installment_Terms"/>
    <tableColumn id="7" name="Bank_Guarantee"/>
    <tableColumn id="8" name="Currency"/>
    <tableColumn id="9" name="Payment_Risk_Level"/>
    <tableColumn id="10" name="Fin_Cost_Rate_Annual"/>
    <tableColumn id="11" name="Fin_Cost_Amount"/>
    <tableColumn id="12" name="Is_Active_FLAG"/>
    <tableColumn id="13" name="Create_Date"/>
    <tableColumn id="14" name="Created_By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blSalesQuotation" displayName="tblSalesQuotation" ref="A2:Q5" headerRowCount="1">
  <autoFilter ref="A2:Q5"/>
  <tableColumns count="17">
    <tableColumn id="1" name="System_ID"/>
    <tableColumn id="2" name="Project_ID"/>
    <tableColumn id="3" name="Quotation_Code"/>
    <tableColumn id="4" name="Scenario"/>
    <tableColumn id="5" name="Costing_ID"/>
    <tableColumn id="6" name="Total_Cost"/>
    <tableColumn id="7" name="Desired_Margin_%"/>
    <tableColumn id="8" name="Margin_Amount"/>
    <tableColumn id="9" name="Commercial_Adjustment"/>
    <tableColumn id="10" name="Risk_Adjustment"/>
    <tableColumn id="11" name="Financial_Adjustment"/>
    <tableColumn id="12" name="Proposed_Selling_Price"/>
    <tableColumn id="13" name="Currency"/>
    <tableColumn id="14" name="Basis_Memo"/>
    <tableColumn id="15" name="Status_ID"/>
    <tableColumn id="16" name="Create_Date"/>
    <tableColumn id="17" name="Created_By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blQuotationVersions" displayName="tblQuotationVersions" ref="A2:L3" headerRowCount="1">
  <autoFilter ref="A2:L3"/>
  <tableColumns count="12">
    <tableColumn id="1" name="System_ID"/>
    <tableColumn id="2" name="Quotation_ID"/>
    <tableColumn id="3" name="Version_No"/>
    <tableColumn id="4" name="Costing_Revision_ID"/>
    <tableColumn id="5" name="Total_Cost"/>
    <tableColumn id="6" name="Margin_Amount"/>
    <tableColumn id="7" name="Proposed_Selling_Price"/>
    <tableColumn id="8" name="Change_Summary"/>
    <tableColumn id="9" name="Approved_Step"/>
    <tableColumn id="10" name="Status_ID"/>
    <tableColumn id="11" name="Create_Date"/>
    <tableColumn id="12" name="Created_By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blPmoSummary" displayName="tblPmoSummary" ref="A2:M4" headerRowCount="1">
  <autoFilter ref="A2:M4"/>
  <tableColumns count="13">
    <tableColumn id="1" name="System_ID"/>
    <tableColumn id="2" name="Project_ID"/>
    <tableColumn id="3" name="Units_Completed"/>
    <tableColumn id="4" name="Completion_Percent"/>
    <tableColumn id="5" name="Performance_Summary"/>
    <tableColumn id="6" name="Gantt_Updated_Flag"/>
    <tableColumn id="7" name="Feasibility_Updated_Flag"/>
    <tableColumn id="8" name="Report_Date"/>
    <tableColumn id="9" name="Decision"/>
    <tableColumn id="10" name="Reported_Flag"/>
    <tableColumn id="11" name="Next_Action"/>
    <tableColumn id="12" name="Create_Date"/>
    <tableColumn id="13" name="Created_By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blManagementApproval" displayName="tblManagementApproval" ref="A2:K3" headerRowCount="1">
  <autoFilter ref="A2:K3"/>
  <tableColumns count="11">
    <tableColumn id="1" name="System_ID"/>
    <tableColumn id="2" name="Quotation_Version_ID"/>
    <tableColumn id="3" name="Project_ID"/>
    <tableColumn id="4" name="Decision"/>
    <tableColumn id="5" name="Decision_Maker"/>
    <tableColumn id="6" name="Decision_Date"/>
    <tableColumn id="7" name="Comment"/>
    <tableColumn id="8" name="Version_Ref"/>
    <tableColumn id="9" name="Status_ID"/>
    <tableColumn id="10" name="Create_Date"/>
    <tableColumn id="11" name="Created_By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blProjectStatuses" displayName="tblProjectStatuses" ref="A2:G14" headerRowCount="1">
  <autoFilter ref="A2:G14"/>
  <tableColumns count="7">
    <tableColumn id="1" name="System_ID"/>
    <tableColumn id="2" name="Project_ID"/>
    <tableColumn id="3" name="Stage"/>
    <tableColumn id="4" name="Stage_Status"/>
    <tableColumn id="5" name="Start_Date"/>
    <tableColumn id="6" name="End_Date"/>
    <tableColumn id="7" name="Remark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blCustomers" displayName="tblCustomers" ref="A2:O4" headerRowCount="1">
  <autoFilter ref="A2:O4"/>
  <tableColumns count="15">
    <tableColumn id="1" name="System_ID"/>
    <tableColumn id="2" name="Customer_Code"/>
    <tableColumn id="3" name="Customer_Name"/>
    <tableColumn id="4" name="Legal_Name"/>
    <tableColumn id="5" name="Customer_Type"/>
    <tableColumn id="6" name="Country"/>
    <tableColumn id="7" name="City"/>
    <tableColumn id="8" name="Delivery_Location"/>
    <tableColumn id="9" name="Payment_Condition"/>
    <tableColumn id="10" name="Credit_Limit"/>
    <tableColumn id="11" name="Currency"/>
    <tableColumn id="12" name="Tax_Status"/>
    <tableColumn id="13" name="Is_Active"/>
    <tableColumn id="14" name="Sales_Owner"/>
    <tableColumn id="15" name="Note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blProducts" displayName="tblProducts" ref="A2:G4" headerRowCount="1">
  <autoFilter ref="A2:G4"/>
  <tableColumns count="7">
    <tableColumn id="1" name="System_ID"/>
    <tableColumn id="2" name="Product_Code"/>
    <tableColumn id="3" name="Product_Name"/>
    <tableColumn id="4" name="Product_Type"/>
    <tableColumn id="5" name="Base_UoM"/>
    <tableColumn id="6" name="Category"/>
    <tableColumn id="7" name="Is_Activ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blProductRevisions" displayName="tblProductRevisions" ref="A2:I4" headerRowCount="1">
  <autoFilter ref="A2:I4"/>
  <tableColumns count="9">
    <tableColumn id="1" name="System_ID"/>
    <tableColumn id="2" name="Product_ID"/>
    <tableColumn id="3" name="Revision_No"/>
    <tableColumn id="4" name="Drawing_No"/>
    <tableColumn id="5" name="Drawing_Revision"/>
    <tableColumn id="6" name="BOM_Policy"/>
    <tableColumn id="7" name="Approved_By"/>
    <tableColumn id="8" name="Approve_Date"/>
    <tableColumn id="9" name="Change_Reason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blSuppliers" displayName="tblSuppliers" ref="A2:L7" headerRowCount="1">
  <autoFilter ref="A2:L7"/>
  <tableColumns count="12">
    <tableColumn id="1" name="System_ID"/>
    <tableColumn id="2" name="Supplier_Code"/>
    <tableColumn id="3" name="Supplier_Name"/>
    <tableColumn id="4" name="Legal_Name"/>
    <tableColumn id="5" name="Country"/>
    <tableColumn id="6" name="Currency"/>
    <tableColumn id="7" name="Payment_Terms_Default"/>
    <tableColumn id="8" name="Incoterm_Default"/>
    <tableColumn id="9" name="Rating"/>
    <tableColumn id="10" name="Approval_Status"/>
    <tableColumn id="11" name="Contact"/>
    <tableColumn id="12" name="Is_Activ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blSettings" displayName="tblSettings" ref="A2:E30" headerRowCount="1">
  <autoFilter ref="A2:E30"/>
  <tableColumns count="5">
    <tableColumn id="1" name="Key"/>
    <tableColumn id="2" name="Value"/>
    <tableColumn id="3" name="Data_Type"/>
    <tableColumn id="4" name="ASSUMPTION"/>
    <tableColumn id="5" name="Description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blLists" displayName="tblLists" ref="A2:B70" headerRowCount="1">
  <autoFilter ref="A2:B70"/>
  <tableColumns count="2">
    <tableColumn id="1" name="List_Name"/>
    <tableColumn id="2" name="Valu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blStatuses" displayName="tblStatuses" ref="A2:D10" headerRowCount="1">
  <autoFilter ref="A2:D10"/>
  <tableColumns count="4">
    <tableColumn id="1" name="Status_ID"/>
    <tableColumn id="2" name="Status_Name"/>
    <tableColumn id="3" name="Status_Group"/>
    <tableColumn id="4" name="Sequenc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blDepartments" displayName="tblDepartments" ref="A2:B9" headerRowCount="1">
  <autoFilter ref="A2:B9"/>
  <tableColumns count="2">
    <tableColumn id="1" name="Department_ID"/>
    <tableColumn id="2" name="Department_Nam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blRoles" displayName="tblRoles" ref="A2:B12" headerRowCount="1">
  <autoFilter ref="A2:B12"/>
  <tableColumns count="2">
    <tableColumn id="1" name="Role_ID"/>
    <tableColumn id="2" name="Role_Nam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blUsers" displayName="tblUsers" ref="A2:G11" headerRowCount="1">
  <autoFilter ref="A2:G11"/>
  <tableColumns count="7">
    <tableColumn id="1" name="User_ID"/>
    <tableColumn id="2" name="Name"/>
    <tableColumn id="3" name="Department_ID"/>
    <tableColumn id="4" name="Role_ID"/>
    <tableColumn id="5" name="Email"/>
    <tableColumn id="6" name="Approval_Level"/>
    <tableColumn id="7" name="Is_Activ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blApprovalMatrix" displayName="tblApprovalMatrix" ref="A2:H11" headerRowCount="1">
  <autoFilter ref="A2:H11"/>
  <tableColumns count="8">
    <tableColumn id="1" name="Entity"/>
    <tableColumn id="2" name="Gate"/>
    <tableColumn id="3" name="Approver_Role"/>
    <tableColumn id="4" name="Min_Approval_Level"/>
    <tableColumn id="5" name="Responsible"/>
    <tableColumn id="6" name="Reviewer"/>
    <tableColumn id="7" name="Approver"/>
    <tableColumn id="8" name="Informed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blRACI" displayName="tblRACI" ref="A2:H17" headerRowCount="1">
  <autoFilter ref="A2:H17"/>
  <tableColumns count="8">
    <tableColumn id="1" name="Activity"/>
    <tableColumn id="2" name="Sales"/>
    <tableColumn id="3" name="Engineering"/>
    <tableColumn id="4" name="Planning"/>
    <tableColumn id="5" name="Procurement"/>
    <tableColumn id="6" name="Finance"/>
    <tableColumn id="7" name="PMO"/>
    <tableColumn id="8" name="Management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blWorkflowHistory" displayName="tblWorkflowHistory" ref="A2:I8" headerRowCount="1">
  <autoFilter ref="A2:I8"/>
  <tableColumns count="9">
    <tableColumn id="1" name="Workflow_History_ID"/>
    <tableColumn id="2" name="Project_ID"/>
    <tableColumn id="3" name="Entity_Type"/>
    <tableColumn id="4" name="Entity_ID"/>
    <tableColumn id="5" name="From_Status"/>
    <tableColumn id="6" name="To_Status"/>
    <tableColumn id="7" name="Action_Date"/>
    <tableColumn id="8" name="User_ID"/>
    <tableColumn id="9" name="Comment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blChangeLog" displayName="tblChangeLog" ref="A2:M3" headerRowCount="1">
  <autoFilter ref="A2:M3"/>
  <tableColumns count="13">
    <tableColumn id="1" name="Change_Log_ID"/>
    <tableColumn id="2" name="Project_ID"/>
    <tableColumn id="3" name="Entity_Type"/>
    <tableColumn id="4" name="Entity_ID"/>
    <tableColumn id="5" name="Field_Changed"/>
    <tableColumn id="6" name="Old_Value"/>
    <tableColumn id="7" name="New_Value"/>
    <tableColumn id="8" name="Change_Reason"/>
    <tableColumn id="9" name="Changed_By"/>
    <tableColumn id="10" name="Change_Date"/>
    <tableColumn id="11" name="Revision_After"/>
    <tableColumn id="12" name="Create_Date"/>
    <tableColumn id="13" name="Created_By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blIssues" displayName="tblIssues" ref="A2:K4" headerRowCount="1">
  <autoFilter ref="A2:K4"/>
  <tableColumns count="11">
    <tableColumn id="1" name="Issue_ID"/>
    <tableColumn id="2" name="Project_ID"/>
    <tableColumn id="3" name="Error_Code"/>
    <tableColumn id="4" name="Error_Description"/>
    <tableColumn id="5" name="Owner"/>
    <tableColumn id="6" name="Required_Action"/>
    <tableColumn id="7" name="Status"/>
    <tableColumn id="8" name="Severity"/>
    <tableColumn id="9" name="Raised_Date"/>
    <tableColumn id="10" name="Create_Date"/>
    <tableColumn id="11" name="Created_By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blErrorChecks" displayName="tblErrorChecks" ref="A2:K21" headerRowCount="1">
  <autoFilter ref="A2:K21"/>
  <tableColumns count="11">
    <tableColumn id="1" name="Rule_Key"/>
    <tableColumn id="2" name="Error_Code"/>
    <tableColumn id="3" name="Check_Description"/>
    <tableColumn id="4" name="Severity"/>
    <tableColumn id="5" name="Owner"/>
    <tableColumn id="6" name="Formula_Result"/>
    <tableColumn id="7" name="Message"/>
    <tableColumn id="8" name="Required_Action"/>
    <tableColumn id="9" name="Status"/>
    <tableColumn id="10" name="Create_Date"/>
    <tableColumn id="11" name="Created_By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blTestResults" displayName="tblTestResults" ref="A2:I22" headerRowCount="1">
  <autoFilter ref="A2:I22"/>
  <tableColumns count="9">
    <tableColumn id="1" name="Test_ID"/>
    <tableColumn id="2" name="Test_Scenario"/>
    <tableColumn id="3" name="Input"/>
    <tableColumn id="4" name="Expected_Result"/>
    <tableColumn id="5" name="Actual_Result"/>
    <tableColumn id="6" name="Pass_Fail"/>
    <tableColumn id="7" name="Issue"/>
    <tableColumn id="8" name="Executed_Date"/>
    <tableColumn id="9" name="By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blNamedRanges" displayName="tblNamedRanges" ref="A2:C7" headerRowCount="1">
  <autoFilter ref="A2:C7"/>
  <tableColumns count="3">
    <tableColumn id="1" name="Named_Range"/>
    <tableColumn id="2" name="Refers_To"/>
    <tableColumn id="3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7.xml" Id="rId1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9.xml" Id="rId1" 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0.xml" Id="rId1" 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1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2.xml" Id="rId1" 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3.xml" Id="rId1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 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5.xml" Id="rId1" /></Relationships>
</file>

<file path=xl/worksheets/_rels/sheet49.xml.rels><Relationships xmlns="http://schemas.openxmlformats.org/package/2006/relationships"><Relationship Type="http://schemas.openxmlformats.org/officeDocument/2006/relationships/table" Target="/xl/tables/table46.xml" Id="rId1" /></Relationships>
</file>

<file path=xl/worksheets/_rels/sheet50.xml.rels><Relationships xmlns="http://schemas.openxmlformats.org/package/2006/relationships"><Relationship Type="http://schemas.openxmlformats.org/officeDocument/2006/relationships/table" Target="/xl/tables/table47.xml" Id="rId1" /></Relationships>
</file>

<file path=xl/worksheets/_rels/sheet52.xml.rels><Relationships xmlns="http://schemas.openxmlformats.org/package/2006/relationships"><Relationship Type="http://schemas.openxmlformats.org/officeDocument/2006/relationships/table" Target="/xl/tables/table48.xml" Id="rId1" /></Relationships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Z4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Dashboard — داشبورد مدیریت فرآیند «سفارش تا تصویب» (KPI + ماتریس گردش کار + گیت‌ها)</t>
        </is>
      </c>
      <c r="Z1" t="inlineStr">
        <is>
          <t>CHART1_ROWS=38:46</t>
        </is>
      </c>
    </row>
    <row r="3">
      <c r="A3" s="2" t="inlineStr">
        <is>
          <t>پروژه‌های فعال</t>
        </is>
      </c>
      <c r="B3" s="2">
        <f>COUNTIF(Projects!$K$3:$K$4,"Approved")</f>
        <v/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سفارش‌های جدید</t>
        </is>
      </c>
      <c r="B4" s="2">
        <f>COUNTA(Orders!$A$3:$A$5)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در انتظار بررسی فروش</t>
        </is>
      </c>
      <c r="B5" s="2">
        <f>COUNTIF(Orders!$M$3:$M$5,"Draft")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پروژه‌های تأخیرخورده</t>
        </is>
      </c>
      <c r="B6" s="2">
        <f>SUM(Projects!$N$3:$N$4)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امکان‌سنجی‌های کامل</t>
        </is>
      </c>
      <c r="B7" s="2">
        <f>COUNTIF(Feasibility!$M$3:$M$20,"COMPLETE")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امکان‌سنجی‌های ناقص (قفل مهندسی)</t>
        </is>
      </c>
      <c r="B8" s="2">
        <f>COUNTIF(Feasibility!$M$3:$M$20,"INCOMPLETE")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تجهیزات قیمت‌دهی‌شده</t>
        </is>
      </c>
      <c r="B9" s="2">
        <f>COUNTIF(Project_Equipment!$N$3:$N$20,"PRICED")</f>
        <v/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تجهیزات در انتظار قیمت‌دهی</t>
        </is>
      </c>
      <c r="B10" s="2">
        <f>COUNTIF(Project_Equipment!$N$3:$N$20,"PENDING")</f>
        <v/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اقلام دریافت‌شده در انبار (تعداد)</t>
        </is>
      </c>
      <c r="B11" s="2">
        <f>SUM(Receipts!$F$3:$F$20)</f>
        <v/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inlineStr">
        <is>
          <t>BOMهای در انتظار تأیید</t>
        </is>
      </c>
      <c r="B12" s="2">
        <f>COUNTIF(BOM_Header!$I$3:$I$5,"Waiting Approval")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inlineStr">
        <is>
          <t>قیمت‌های منقضی</t>
        </is>
      </c>
      <c r="B13" s="2">
        <f>COUNTIF(Purchase_Prices!$R$3:$R$10,1)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inlineStr">
        <is>
          <t>پیشنهاد در انتظار مدیریت</t>
        </is>
      </c>
      <c r="B14" s="2">
        <f>COUNTIF(Sales_Quotation!$O$3:$O$5,"Submitted")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تصمیم تأیید (مطلق)</t>
        </is>
      </c>
      <c r="B15" s="2">
        <f>COUNTIF(Management_Approval!$D$3:$D$10,"APPROVED")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inlineStr">
        <is>
          <t>تصمیم تأیید مشروط</t>
        </is>
      </c>
      <c r="B16" s="2">
        <f>COUNTIF(Management_Approval!$D$3:$D$10,"APPROVED WITH CONDITION")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inlineStr">
        <is>
          <t>تصمیم برگشت برای اصلاح</t>
        </is>
      </c>
      <c r="B17" s="2">
        <f>COUNTIF(Management_Approval!$D$3:$D$10,"RETURN FOR REVISION")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inlineStr">
        <is>
          <t>تصمیم رد</t>
        </is>
      </c>
      <c r="B18" s="2">
        <f>COUNTIF(Management_Approval!$D$3:$D$10,"REJECTED")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Total Sales Value (پیشنهاد جاری)</t>
        </is>
      </c>
      <c r="B19" s="2">
        <f>Quotation_Versions!$G$3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inlineStr">
        <is>
          <t>Total Cost</t>
        </is>
      </c>
      <c r="B20" s="2">
        <f>SUM(Costing!$Q$3:$Q$3)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inlineStr">
        <is>
          <t>اختلاف بودجه و هزینه واقعی</t>
        </is>
      </c>
      <c r="B21" s="2">
        <f>Budget!$S$3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inlineStr">
        <is>
          <t>Funnel (تعداد)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inlineStr">
        <is>
          <t>Leads / سفارش‌ها</t>
        </is>
      </c>
      <c r="B24" s="2">
        <f>COUNTA(Orders!$A$3:$A$5)</f>
        <v/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inlineStr">
        <is>
          <t>Orders → READY</t>
        </is>
      </c>
      <c r="B25" s="2">
        <f>COUNTIF(Orders!$R$3:$R$5,"READY")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inlineStr">
        <is>
          <t>امکان‌سنجی کامل</t>
        </is>
      </c>
      <c r="B26" s="2">
        <f>COUNTIF(Feasibility!$M$3:$M$20,"COMPLETE")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inlineStr">
        <is>
          <t>مهندسی تأییدشده</t>
        </is>
      </c>
      <c r="B27" s="2">
        <f>COUNTIF(Engineering!$H$3:$H$4,"Approved")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inlineStr">
        <is>
          <t>Costing تأییدشده</t>
        </is>
      </c>
      <c r="B28" s="2">
        <f>COUNTIF(Costing!$D$3:$D$3,"Approved")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inlineStr">
        <is>
          <t>پیشنهاد Submitted</t>
        </is>
      </c>
      <c r="B29" s="2">
        <f>COUNTIF(Sales_Quotation!$O$3:$O$5,"Submitted")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inlineStr">
        <is>
          <t>تصمیم مدیریت (کل)</t>
        </is>
      </c>
      <c r="B30" s="2">
        <f>COUNTA(Management_Approval!$D$3:$D$10)</f>
        <v/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inlineStr">
        <is>
          <t>ماتریس گردش کار پروژه‌ها — ✅ تکمیل / 🔵 در جریان / 🔒 قفل (گیت بسته)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inlineStr">
        <is>
          <t>پروژه</t>
        </is>
      </c>
      <c r="B33" s="2" t="inlineStr">
        <is>
          <t>بررسی سفارش (فروش)</t>
        </is>
      </c>
      <c r="C33" s="2" t="inlineStr">
        <is>
          <t>امکان‌سنجی (مدیر پروژه)</t>
        </is>
      </c>
      <c r="D33" s="2" t="inlineStr">
        <is>
          <t>مهندسی (اقلام/تجهیزات/زمان‌سنجی)</t>
        </is>
      </c>
      <c r="E33" s="2" t="inlineStr">
        <is>
          <t>بازرگانی (قیمت‌دهی اقلام)</t>
        </is>
      </c>
      <c r="F33" s="2" t="inlineStr">
        <is>
          <t>برنامه‌ریزی تولید و انبارها</t>
        </is>
      </c>
      <c r="G33" s="2" t="inlineStr">
        <is>
          <t>مالی (قیمت تمام‌شده و بودجه)</t>
        </is>
      </c>
      <c r="H33" s="2" t="inlineStr">
        <is>
          <t>قیمت‌گذاری فروش و نحوه پرداخت</t>
        </is>
      </c>
      <c r="I33" s="2" t="inlineStr">
        <is>
          <t>جمع‌بندی مدیریت پروژه</t>
        </is>
      </c>
      <c r="J33" s="2" t="inlineStr">
        <is>
          <t>تصمیم مدیریت ارشد</t>
        </is>
      </c>
      <c r="K33" s="2" t="inlineStr">
        <is>
          <t>مراحل تکمیل‌شده</t>
        </is>
      </c>
      <c r="L33" s="2" t="inlineStr">
        <is>
          <t>درصد پیشروی</t>
        </is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inlineStr">
        <is>
          <t>PRJ-2026-00125</t>
        </is>
      </c>
      <c r="B34" s="2">
        <f>IFERROR(IF(INDEX(Gate_Status!$D$3:$D$20,MATCH($A34,Gate_Status!$B$3:$B$20,0))=1,"✅ تکمیل","🔵 در جریان"),"—")</f>
        <v/>
      </c>
      <c r="C34" s="2">
        <f>IFERROR(IF(INDEX(Gate_Status!$E$3:$E$20,MATCH($A34,Gate_Status!$B$3:$B$20,0))=1,"✅ تکمیل",IF(INDEX(Gate_Status!$N$3:$N$20,MATCH($A34,Gate_Status!$B$3:$B$20,0))=1,"🔵 در جریان","🔒 قفل")),"—")</f>
        <v/>
      </c>
      <c r="D34" s="2">
        <f>IFERROR(IF(INDEX(Gate_Status!$F$3:$F$20,MATCH($A34,Gate_Status!$B$3:$B$20,0))=1,"✅ تکمیل",IF(INDEX(Gate_Status!$O$3:$O$20,MATCH($A34,Gate_Status!$B$3:$B$20,0))=1,"🔵 در جریان","🔒 قفل")),"—")</f>
        <v/>
      </c>
      <c r="E34" s="2">
        <f>IFERROR(IF(INDEX(Gate_Status!$G$3:$G$20,MATCH($A34,Gate_Status!$B$3:$B$20,0))=1,"✅ تکمیل",IF(INDEX(Gate_Status!$P$3:$P$20,MATCH($A34,Gate_Status!$B$3:$B$20,0))=1,"🔵 در جریان","🔒 قفل")),"—")</f>
        <v/>
      </c>
      <c r="F34" s="2">
        <f>IFERROR(IF(INDEX(Gate_Status!$H$3:$H$20,MATCH($A34,Gate_Status!$B$3:$B$20,0))=1,"✅ تکمیل",IF(INDEX(Gate_Status!$Q$3:$Q$20,MATCH($A34,Gate_Status!$B$3:$B$20,0))=1,"🔵 در جریان","🔒 قفل")),"—")</f>
        <v/>
      </c>
      <c r="G34" s="2">
        <f>IFERROR(IF(INDEX(Gate_Status!$I$3:$I$20,MATCH($A34,Gate_Status!$B$3:$B$20,0))=1,"✅ تکمیل",IF(INDEX(Gate_Status!$R$3:$R$20,MATCH($A34,Gate_Status!$B$3:$B$20,0))=1,"🔵 در جریان","🔒 قفل")),"—")</f>
        <v/>
      </c>
      <c r="H34" s="2">
        <f>IFERROR(IF(INDEX(Gate_Status!$J$3:$J$20,MATCH($A34,Gate_Status!$B$3:$B$20,0))=1,"✅ تکمیل",IF(INDEX(Gate_Status!$S$3:$S$20,MATCH($A34,Gate_Status!$B$3:$B$20,0))=1,"🔵 در جریان","🔒 قفل")),"—")</f>
        <v/>
      </c>
      <c r="I34" s="2">
        <f>IFERROR(IF(INDEX(Gate_Status!$K$3:$K$20,MATCH($A34,Gate_Status!$B$3:$B$20,0))=1,"✅ تکمیل",IF(INDEX(Gate_Status!$T$3:$T$20,MATCH($A34,Gate_Status!$B$3:$B$20,0))=1,"🔵 در جریان","🔒 قفل")),"—")</f>
        <v/>
      </c>
      <c r="J34" s="2">
        <f>IFERROR(IF(INDEX(Gate_Status!$L$3:$L$20,MATCH($A34,Gate_Status!$B$3:$B$20,0))=1,"✅ تکمیل",IF(INDEX(Gate_Status!$U$3:$U$20,MATCH($A34,Gate_Status!$B$3:$B$20,0))=1,"🔵 در جریان","🔒 قفل")),"—")</f>
        <v/>
      </c>
      <c r="K34" s="2">
        <f>IFERROR(INDEX(Gate_Status!$V$3:$V$20,MATCH($A34,Gate_Status!$B$3:$B$20,0)),"")</f>
        <v/>
      </c>
      <c r="L34" s="2">
        <f>IFERROR(ROUND(INDEX(Gate_Status!$W$3:$W$20,MATCH($A34,Gate_Status!$B$3:$B$20,0)),3),"")</f>
        <v/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inlineStr">
        <is>
          <t>PRJ-2026-00126</t>
        </is>
      </c>
      <c r="B35" s="2">
        <f>IFERROR(IF(INDEX(Gate_Status!$D$3:$D$20,MATCH($A35,Gate_Status!$B$3:$B$20,0))=1,"✅ تکمیل","🔵 در جریان"),"—")</f>
        <v/>
      </c>
      <c r="C35" s="2">
        <f>IFERROR(IF(INDEX(Gate_Status!$E$3:$E$20,MATCH($A35,Gate_Status!$B$3:$B$20,0))=1,"✅ تکمیل",IF(INDEX(Gate_Status!$N$3:$N$20,MATCH($A35,Gate_Status!$B$3:$B$20,0))=1,"🔵 در جریان","🔒 قفل")),"—")</f>
        <v/>
      </c>
      <c r="D35" s="2">
        <f>IFERROR(IF(INDEX(Gate_Status!$F$3:$F$20,MATCH($A35,Gate_Status!$B$3:$B$20,0))=1,"✅ تکمیل",IF(INDEX(Gate_Status!$O$3:$O$20,MATCH($A35,Gate_Status!$B$3:$B$20,0))=1,"🔵 در جریان","🔒 قفل")),"—")</f>
        <v/>
      </c>
      <c r="E35" s="2">
        <f>IFERROR(IF(INDEX(Gate_Status!$G$3:$G$20,MATCH($A35,Gate_Status!$B$3:$B$20,0))=1,"✅ تکمیل",IF(INDEX(Gate_Status!$P$3:$P$20,MATCH($A35,Gate_Status!$B$3:$B$20,0))=1,"🔵 در جریان","🔒 قفل")),"—")</f>
        <v/>
      </c>
      <c r="F35" s="2">
        <f>IFERROR(IF(INDEX(Gate_Status!$H$3:$H$20,MATCH($A35,Gate_Status!$B$3:$B$20,0))=1,"✅ تکمیل",IF(INDEX(Gate_Status!$Q$3:$Q$20,MATCH($A35,Gate_Status!$B$3:$B$20,0))=1,"🔵 در جریان","🔒 قفل")),"—")</f>
        <v/>
      </c>
      <c r="G35" s="2">
        <f>IFERROR(IF(INDEX(Gate_Status!$I$3:$I$20,MATCH($A35,Gate_Status!$B$3:$B$20,0))=1,"✅ تکمیل",IF(INDEX(Gate_Status!$R$3:$R$20,MATCH($A35,Gate_Status!$B$3:$B$20,0))=1,"🔵 در جریان","🔒 قفل")),"—")</f>
        <v/>
      </c>
      <c r="H35" s="2">
        <f>IFERROR(IF(INDEX(Gate_Status!$J$3:$J$20,MATCH($A35,Gate_Status!$B$3:$B$20,0))=1,"✅ تکمیل",IF(INDEX(Gate_Status!$S$3:$S$20,MATCH($A35,Gate_Status!$B$3:$B$20,0))=1,"🔵 در جریان","🔒 قفل")),"—")</f>
        <v/>
      </c>
      <c r="I35" s="2">
        <f>IFERROR(IF(INDEX(Gate_Status!$K$3:$K$20,MATCH($A35,Gate_Status!$B$3:$B$20,0))=1,"✅ تکمیل",IF(INDEX(Gate_Status!$T$3:$T$20,MATCH($A35,Gate_Status!$B$3:$B$20,0))=1,"🔵 در جریان","🔒 قفل")),"—")</f>
        <v/>
      </c>
      <c r="J35" s="2">
        <f>IFERROR(IF(INDEX(Gate_Status!$L$3:$L$20,MATCH($A35,Gate_Status!$B$3:$B$20,0))=1,"✅ تکمیل",IF(INDEX(Gate_Status!$U$3:$U$20,MATCH($A35,Gate_Status!$B$3:$B$20,0))=1,"🔵 در جریان","🔒 قفل")),"—")</f>
        <v/>
      </c>
      <c r="K35" s="2">
        <f>IFERROR(INDEX(Gate_Status!$V$3:$V$20,MATCH($A35,Gate_Status!$B$3:$B$20,0)),"")</f>
        <v/>
      </c>
      <c r="L35" s="2">
        <f>IFERROR(ROUND(INDEX(Gate_Status!$W$3:$W$20,MATCH($A35,Gate_Status!$B$3:$B$20,0)),3),"")</f>
        <v/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inlineStr">
        <is>
          <t>داده نمودار — تعداد پروژه‌های تکمیل‌کننده هر مرحله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inlineStr">
        <is>
          <t>بررسی سفارش (فروش)</t>
        </is>
      </c>
      <c r="B38" s="2">
        <f>SUM(Gate_Status!$D$3:$D$20)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inlineStr">
        <is>
          <t>امکان‌سنجی (مدیر پروژه)</t>
        </is>
      </c>
      <c r="B39" s="2">
        <f>SUM(Gate_Status!$E$3:$E$20)</f>
        <v/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inlineStr">
        <is>
          <t>مهندسی (اقلام/تجهیزات/زمان‌سنجی)</t>
        </is>
      </c>
      <c r="B40" s="2">
        <f>SUM(Gate_Status!$F$3:$F$20)</f>
        <v/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inlineStr">
        <is>
          <t>بازرگانی (قیمت‌دهی اقلام)</t>
        </is>
      </c>
      <c r="B41" s="2">
        <f>SUM(Gate_Status!$G$3:$G$20)</f>
        <v/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inlineStr">
        <is>
          <t>برنامه‌ریزی تولید و انبارها</t>
        </is>
      </c>
      <c r="B42" s="2">
        <f>SUM(Gate_Status!$H$3:$H$20)</f>
        <v/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inlineStr">
        <is>
          <t>مالی (قیمت تمام‌شده و بودجه)</t>
        </is>
      </c>
      <c r="B43" s="2">
        <f>SUM(Gate_Status!$I$3:$I$20)</f>
        <v/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inlineStr">
        <is>
          <t>قیمت‌گذاری فروش و نحوه پرداخت</t>
        </is>
      </c>
      <c r="B44" s="2">
        <f>SUM(Gate_Status!$J$3:$J$20)</f>
        <v/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inlineStr">
        <is>
          <t>جمع‌بندی مدیریت پروژه</t>
        </is>
      </c>
      <c r="B45" s="2">
        <f>SUM(Gate_Status!$K$3:$K$20)</f>
        <v/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inlineStr">
        <is>
          <t>تصمیم مدیریت ارشد</t>
        </is>
      </c>
      <c r="B46" s="2">
        <f>SUM(Gate_Status!$L$3:$L$20)</f>
        <v/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F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Workflow — گردش کار ۹ مرحله‌ای «سفارش تا تصویب مدیریت ارشد» + گیت‌ها و مالکان</t>
        </is>
      </c>
    </row>
    <row r="2">
      <c r="A2" t="inlineStr">
        <is>
          <t>№</t>
        </is>
      </c>
      <c r="B2" t="inlineStr">
        <is>
          <t>مرحله</t>
        </is>
      </c>
      <c r="C2" t="inlineStr">
        <is>
          <t>مالک (واحد)</t>
        </is>
      </c>
      <c r="D2" t="inlineStr">
        <is>
          <t>گیت ورود (پیش‌نیاز)</t>
        </is>
      </c>
      <c r="E2" t="inlineStr">
        <is>
          <t>شرط عبور به مرحله بعد</t>
        </is>
      </c>
    </row>
    <row r="3">
      <c r="A3" s="2" t="inlineStr">
        <is>
          <t>۱</t>
        </is>
      </c>
      <c r="B3" s="2" t="inlineStr">
        <is>
          <t>دریافت و بررسی سفارش</t>
        </is>
      </c>
      <c r="C3" s="2" t="inlineStr">
        <is>
          <t>فروش</t>
        </is>
      </c>
      <c r="D3" s="2" t="inlineStr">
        <is>
          <t>—</t>
        </is>
      </c>
      <c r="E3" s="2" t="inlineStr">
        <is>
          <t>سفارش کامل و تأیید اولیه (Ready_Flag=READY)</t>
        </is>
      </c>
      <c r="F3" s="2" t="inlineStr">
        <is>
          <t>↓</t>
        </is>
      </c>
    </row>
    <row r="4">
      <c r="A4" s="2" t="inlineStr">
        <is>
          <t>۲</t>
        </is>
      </c>
      <c r="B4" s="2" t="inlineStr">
        <is>
          <t>تعریف پروژه + تهیه گانت + تکمیل امکان‌سنجی</t>
        </is>
      </c>
      <c r="C4" s="2" t="inlineStr">
        <is>
          <t>مدیر پروژه</t>
        </is>
      </c>
      <c r="D4" s="2" t="inlineStr">
        <is>
          <t>گیت ۱ (سفارش آماده)</t>
        </is>
      </c>
      <c r="E4" s="2" t="inlineStr">
        <is>
          <t>امکان‌سنجی کامل (امتیازها + نتیجه + توصیه)</t>
        </is>
      </c>
      <c r="F4" s="2" t="inlineStr">
        <is>
          <t>↓</t>
        </is>
      </c>
    </row>
    <row r="5">
      <c r="A5" s="2" t="inlineStr">
        <is>
          <t>۳</t>
        </is>
      </c>
      <c r="B5" s="2" t="inlineStr">
        <is>
          <t>تهیه اقلام (BOM)، تجهیزات، زمان‌سنجی و نفرساعت</t>
        </is>
      </c>
      <c r="C5" s="2" t="inlineStr">
        <is>
          <t>مهندسی</t>
        </is>
      </c>
      <c r="D5" s="2" t="inlineStr">
        <is>
          <t>گیت ۲ (امکان‌سنجی کامل)</t>
        </is>
      </c>
      <c r="E5" s="2" t="inlineStr">
        <is>
          <t>مهندسی تأییدشده + BOM تأییدشده + زمان‌سنجی ثبت‌شده</t>
        </is>
      </c>
      <c r="F5" s="2" t="inlineStr">
        <is>
          <t>↓</t>
        </is>
      </c>
    </row>
    <row r="6">
      <c r="A6" s="2" t="inlineStr">
        <is>
          <t>۴</t>
        </is>
      </c>
      <c r="B6" s="2" t="inlineStr">
        <is>
          <t>تعیین قیمت اقلام و تجهیزات فهرست مهندسی (با نرخ ارز وارداتی)</t>
        </is>
      </c>
      <c r="C6" s="2" t="inlineStr">
        <is>
          <t>بازرگانی</t>
        </is>
      </c>
      <c r="D6" s="2" t="inlineStr">
        <is>
          <t>گیت ۳ (مهندسی کامل)</t>
        </is>
      </c>
      <c r="E6" s="2" t="inlineStr">
        <is>
          <t>همه اقلام/تجهیزات پروژه قیمت‌گذاری‌شده و معتبر</t>
        </is>
      </c>
      <c r="F6" s="2" t="inlineStr">
        <is>
          <t>↓</t>
        </is>
      </c>
    </row>
    <row r="7">
      <c r="A7" s="2" t="inlineStr">
        <is>
          <t>۵</t>
        </is>
      </c>
      <c r="B7" s="2" t="inlineStr">
        <is>
          <t>مقدار مورد نیاز اقلام برای تولید + زمان‌بندی نیاز + ثبت رسید انبار</t>
        </is>
      </c>
      <c r="C7" s="2" t="inlineStr">
        <is>
          <t>برنامه‌ریزی تولید و انبارها</t>
        </is>
      </c>
      <c r="D7" s="2" t="inlineStr">
        <is>
          <t>گیت ۴ (بازرگانی کامل)</t>
        </is>
      </c>
      <c r="E7" s="2" t="inlineStr">
        <is>
          <t>تاریخ نیاز و وضعیت تأمین همه ردیف‌های نیاز ثبت‌شده</t>
        </is>
      </c>
      <c r="F7" s="2" t="inlineStr">
        <is>
          <t>↓</t>
        </is>
      </c>
    </row>
    <row r="8">
      <c r="A8" s="2" t="inlineStr">
        <is>
          <t>۶</t>
        </is>
      </c>
      <c r="B8" s="2" t="inlineStr">
        <is>
          <t>قیمت تمام‌شده محصول + تدوین بودجه راه‌اندازی</t>
        </is>
      </c>
      <c r="C8" s="2" t="inlineStr">
        <is>
          <t>مالی</t>
        </is>
      </c>
      <c r="D8" s="2" t="inlineStr">
        <is>
          <t>گیت ۵ (برنامه‌ریزی کامل)</t>
        </is>
      </c>
      <c r="E8" s="2" t="inlineStr">
        <is>
          <t>Costing تأییدشده + بودجه ثبت‌شده</t>
        </is>
      </c>
      <c r="F8" s="2" t="inlineStr">
        <is>
          <t>↓</t>
        </is>
      </c>
    </row>
    <row r="9">
      <c r="A9" s="2" t="inlineStr">
        <is>
          <t>۷</t>
        </is>
      </c>
      <c r="B9" s="2" t="inlineStr">
        <is>
          <t>تعیین قیمت نهایی فروش و نحوه پرداخت</t>
        </is>
      </c>
      <c r="C9" s="2" t="inlineStr">
        <is>
          <t>فروش</t>
        </is>
      </c>
      <c r="D9" s="2" t="inlineStr">
        <is>
          <t>گیت ۶ (مالی کامل)</t>
        </is>
      </c>
      <c r="E9" s="2" t="inlineStr">
        <is>
          <t>پیشنهاد قیمت Submitted با سناریو و شرایط پرداخت</t>
        </is>
      </c>
      <c r="F9" s="2" t="inlineStr">
        <is>
          <t>↓</t>
        </is>
      </c>
    </row>
    <row r="10">
      <c r="A10" s="2" t="inlineStr">
        <is>
          <t>۸</t>
        </is>
      </c>
      <c r="B10" s="2" t="inlineStr">
        <is>
          <t>جمع‌بندی عملکرد واحدها + به‌روزرسانی گانت/امکان‌سنجی + اعلام به ارشد</t>
        </is>
      </c>
      <c r="C10" s="2" t="inlineStr">
        <is>
          <t>مدیریت پروژه (PMO)</t>
        </is>
      </c>
      <c r="D10" s="2" t="inlineStr">
        <is>
          <t>گیت ۷ (قیمت‌گذاری کامل)</t>
        </is>
      </c>
      <c r="E10" s="2" t="inlineStr">
        <is>
          <t>گزارش جمع‌بندی ارسال‌شده (Report_Date)</t>
        </is>
      </c>
      <c r="F10" s="2" t="inlineStr">
        <is>
          <t>↓</t>
        </is>
      </c>
    </row>
    <row r="11">
      <c r="A11" s="2" t="inlineStr">
        <is>
          <t>۹</t>
        </is>
      </c>
      <c r="B11" s="2" t="inlineStr">
        <is>
          <t>تأیید / رد / برگشت برای اصلاح</t>
        </is>
      </c>
      <c r="C11" s="2" t="inlineStr">
        <is>
          <t>مدیریت ارشد</t>
        </is>
      </c>
      <c r="D11" s="2" t="inlineStr">
        <is>
          <t>گیت ۸ (گزارش کامل)</t>
        </is>
      </c>
      <c r="E11" s="2" t="inlineStr">
        <is>
          <t>ثبت تصمیم چهارگانه: APPROVED / مشروط / برگشت / رد</t>
        </is>
      </c>
      <c r="F11" s="2" t="inlineStr"/>
    </row>
    <row r="12">
      <c r="A12" s="2" t="n"/>
      <c r="B12" s="2" t="n"/>
      <c r="C12" s="2" t="n"/>
      <c r="D12" s="2" t="n"/>
      <c r="E12" s="2" t="n"/>
      <c r="F12" s="2" t="n"/>
    </row>
    <row r="13">
      <c r="A13" s="2" t="inlineStr">
        <is>
          <t>برگشت برای اصلاح: تصمیم RETURN FOR REVISION پروژه را به مرحله مربوط بازمی‌گرداند؛ تغییر هر ورودیِ تصویب‌شده فقط با Revision جدید.</t>
        </is>
      </c>
      <c r="B13" s="2" t="n"/>
      <c r="C13" s="2" t="n"/>
      <c r="D13" s="2" t="n"/>
      <c r="E13" s="2" t="n"/>
      <c r="F13" s="2" t="n"/>
    </row>
    <row r="14">
      <c r="A14" s="2" t="inlineStr">
        <is>
          <t>اجرای گیت‌ها: ستون‌های G در شیت Gate_Status + Data Validation روی سلول‌های ورودی + محدوده‌های ویرایش رمزدار (شیت Access_Control).</t>
        </is>
      </c>
      <c r="B14" s="2" t="n"/>
      <c r="C14" s="2" t="n"/>
      <c r="D14" s="2" t="n"/>
      <c r="E14" s="2" t="n"/>
      <c r="F14" s="2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AE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8" customWidth="1" min="4" max="4"/>
    <col width="21" customWidth="1" min="5" max="5"/>
    <col width="18" customWidth="1" min="6" max="6"/>
    <col width="16" customWidth="1" min="7" max="7"/>
    <col width="26" customWidth="1" min="8" max="8"/>
    <col width="13" customWidth="1" min="9" max="9"/>
    <col width="20" customWidth="1" min="10" max="10"/>
    <col width="18" customWidth="1" min="11" max="11"/>
    <col width="21" customWidth="1" min="12" max="12"/>
    <col width="16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20" customWidth="1" min="22" max="22"/>
    <col width="22" customWidth="1" min="23" max="23"/>
    <col width="16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Gate_Status</t>
        </is>
      </c>
      <c r="B1" s="3" t="inlineStr">
        <is>
          <t>هر ستون S پرچم تکمیل یک مرحله (فرمول زنده)؛ ستون‌های G گیت تجمعی هستند: تا مرحله قبل تکمیل نشود، ورود اطلاعات در مرحله بعد توسط Data Validation مسدود است. Any_G_* ها در ردیف ۱ برای گیت شیت‌های غیرپروژه‌محور.</t>
        </is>
      </c>
      <c r="Z1" t="inlineStr">
        <is>
          <t>Any_G_Eng</t>
        </is>
      </c>
      <c r="AA1">
        <f>MAX($O$3:$O$20)</f>
        <v/>
      </c>
      <c r="AB1" t="inlineStr">
        <is>
          <t>Any_G_Com</t>
        </is>
      </c>
      <c r="AC1">
        <f>MAX($P$3:$P$20)</f>
        <v/>
      </c>
      <c r="AD1" t="inlineStr">
        <is>
          <t>Any_G_Pln</t>
        </is>
      </c>
      <c r="AE1">
        <f>MAX($Q$3:$Q$20)</f>
        <v/>
      </c>
    </row>
    <row r="2">
      <c r="A2" s="4" t="inlineStr">
        <is>
          <t>System_ID</t>
        </is>
      </c>
      <c r="B2" s="4" t="inlineStr">
        <is>
          <t>Project_ID</t>
        </is>
      </c>
      <c r="C2" s="4" t="inlineStr">
        <is>
          <t>Order_ID</t>
        </is>
      </c>
      <c r="D2" s="4" t="inlineStr">
        <is>
          <t>S1_Sales_Ready</t>
        </is>
      </c>
      <c r="E2" s="4" t="inlineStr">
        <is>
          <t>S2_PM_Feasibility</t>
        </is>
      </c>
      <c r="F2" s="4" t="inlineStr">
        <is>
          <t>S3_Engineering</t>
        </is>
      </c>
      <c r="G2" s="4" t="inlineStr">
        <is>
          <t>S4_Commercial</t>
        </is>
      </c>
      <c r="H2" s="4" t="inlineStr">
        <is>
          <t>S5_Planning_Warehouse</t>
        </is>
      </c>
      <c r="I2" s="4" t="inlineStr">
        <is>
          <t>S6_Finance</t>
        </is>
      </c>
      <c r="J2" s="4" t="inlineStr">
        <is>
          <t>S7_Sales_Pricing</t>
        </is>
      </c>
      <c r="K2" s="4" t="inlineStr">
        <is>
          <t>S8_PMO_Summary</t>
        </is>
      </c>
      <c r="L2" s="4" t="inlineStr">
        <is>
          <t>Decision_Recorded</t>
        </is>
      </c>
      <c r="M2" s="4" t="inlineStr">
        <is>
          <t>Decision_Text</t>
        </is>
      </c>
      <c r="N2" s="4" t="inlineStr">
        <is>
          <t>G_PM</t>
        </is>
      </c>
      <c r="O2" s="4" t="inlineStr">
        <is>
          <t>G_Eng</t>
        </is>
      </c>
      <c r="P2" s="4" t="inlineStr">
        <is>
          <t>G_Com</t>
        </is>
      </c>
      <c r="Q2" s="4" t="inlineStr">
        <is>
          <t>G_Pln</t>
        </is>
      </c>
      <c r="R2" s="4" t="inlineStr">
        <is>
          <t>G_Fin</t>
        </is>
      </c>
      <c r="S2" s="4" t="inlineStr">
        <is>
          <t>G_Price</t>
        </is>
      </c>
      <c r="T2" s="4" t="inlineStr">
        <is>
          <t>G_PMO</t>
        </is>
      </c>
      <c r="U2" s="4" t="inlineStr">
        <is>
          <t>G_Senior</t>
        </is>
      </c>
      <c r="V2" s="4" t="inlineStr">
        <is>
          <t>Stages_Completed</t>
        </is>
      </c>
      <c r="W2" s="4" t="inlineStr">
        <is>
          <t>Completion_Percent</t>
        </is>
      </c>
      <c r="X2" s="4" t="inlineStr">
        <is>
          <t>Current_Stage</t>
        </is>
      </c>
    </row>
    <row r="3">
      <c r="A3" s="2" t="inlineStr">
        <is>
          <t>GST-000001</t>
        </is>
      </c>
      <c r="B3" s="2">
        <f>Projects!$A$3</f>
        <v/>
      </c>
      <c r="C3" s="2">
        <f>Projects!$C$3</f>
        <v/>
      </c>
      <c r="D3" s="2">
        <f>IF(COUNTIFS(Orders!$A$3:$A$20,$C3,Orders!$R$3:$R$20,"READY")&gt;0,1,0)</f>
        <v/>
      </c>
      <c r="E3" s="2">
        <f>IF(COUNTIFS(Feasibility!$B$3:$B$20,$B3,Feasibility!$M$3:$M$20,"COMPLETE")&gt;0,1,0)</f>
        <v/>
      </c>
      <c r="F3" s="2">
        <f>IF(AND(COUNTIFS(Engineering!$B$3:$B$20,$B3,Engineering!$H$3:$H$20,"Approved")&gt;0,COUNTIFS(Time_Study!$B$3:$B$20,$B3)&gt;0,COUNTIFS(BOM_Header!$C$3:$C$20,XLOOKUP(XLOOKUP($B3,Projects!$A$3:$A$20,Projects!$E$3:$E$20,""),Product_Revisions!$B$3:$B$20,Product_Revisions!$A$3:$A$20,""),BOM_Header!$I$3:$I$20,"Approved")&gt;0),1,0)</f>
        <v/>
      </c>
      <c r="G3" s="2">
        <f>IF(AND(COUNTIFS(Project_Equipment!$B$3:$B$20,$B3)&gt;0,COUNTIFS(Project_Equipment!$B$3:$B$20,$B3,Project_Equipment!$N$3:$N$20,"PRICED")=COUNTIFS(Project_Equipment!$B$3:$B$20,$B3),COUNTIFS(Purchase_Prices!$S$3:$S$20,"Approved",Purchase_Prices!$R$3:$R$20,0)&gt;0),1,0)</f>
        <v/>
      </c>
      <c r="H3" s="2">
        <f>IF(AND(COUNTIFS(Planning!$B$3:$B$30,$B3)&gt;0,COUNTIFS(Planning!$B$3:$B$30,$B3,Planning!$R$3:$R$30,"Approved")=COUNTIFS(Planning!$B$3:$B$30,$B3)),1,0)</f>
        <v/>
      </c>
      <c r="I3" s="2">
        <f>IF(COUNTIFS(Costing!$B$3:$B$10,$B3,Costing!$D$3:$D$10,"Approved")&gt;0,1,0)</f>
        <v/>
      </c>
      <c r="J3" s="2">
        <f>IF(COUNTIFS(Sales_Quotation!$B$3:$B$10,$B3,Sales_Quotation!$O$3:$O$10,"Submitted")&gt;0,1,0)</f>
        <v/>
      </c>
      <c r="K3" s="2">
        <f>IF(COUNTIFS(PMO_Summary!$B$3:$B$10,$B3,PMO_Summary!$J$3:$J$10,"REPORTED")&gt;0,1,0)</f>
        <v/>
      </c>
      <c r="L3" s="2">
        <f>IF($M3&lt;&gt;"",1,0)</f>
        <v/>
      </c>
      <c r="M3" s="2">
        <f>IFERROR(XLOOKUP($B3,Management_Approval!$C$3:$C$10,Management_Approval!$D$3:$D$10,""),"")</f>
        <v/>
      </c>
      <c r="N3" s="2">
        <f>$D3</f>
        <v/>
      </c>
      <c r="O3" s="2">
        <f>$D3*$E3</f>
        <v/>
      </c>
      <c r="P3" s="2">
        <f>$O3*$F3</f>
        <v/>
      </c>
      <c r="Q3" s="2">
        <f>$P3*$G3</f>
        <v/>
      </c>
      <c r="R3" s="2">
        <f>$Q3*$H3</f>
        <v/>
      </c>
      <c r="S3" s="5">
        <f>$R3*$I3</f>
        <v/>
      </c>
      <c r="T3" s="2">
        <f>$S3*$J3</f>
        <v/>
      </c>
      <c r="U3" s="2">
        <f>$T3*$K3</f>
        <v/>
      </c>
      <c r="V3" s="2">
        <f>SUM($D3:$K3)</f>
        <v/>
      </c>
      <c r="W3" s="6">
        <f>ROUND($V3/8,3)</f>
        <v/>
      </c>
      <c r="X3" s="2">
        <f>IF($L3=1,"چرخه کامل — تصمیم ثبت شده",IF($D3=0,"بررسی سفارش (فروش)",IF($E3=0,"تعریف پروژه و امکان‌سنجی (مدیر پروژه)",IF($F3=0,"مهندسی (اقلام/تجهیزات/زمان‌سنجی)",IF($G3=0,"بازرگانی (قیمت‌دهی اقلام)",IF($H3=0,"برنامه‌ریزی تولید و انبارها",IF($I3=0,"مالی (قیمت تمام‌شده و بودجه)",IF($J3=0,"فروش (قیمت نهایی و نحوه پرداخت)",IF($K3=0,"جمع‌بندی و اعلام به مدیریت ارشد","در انتظار تصمیم مدیریت ارشد")))))))))</f>
        <v/>
      </c>
      <c r="Y3" s="2" t="n"/>
      <c r="Z3" s="2" t="n"/>
      <c r="AA3" s="2" t="n"/>
      <c r="AB3" s="2" t="n"/>
      <c r="AC3" s="2" t="n"/>
      <c r="AD3" s="2" t="n"/>
      <c r="AE3" s="2" t="n"/>
    </row>
    <row r="4">
      <c r="A4" s="7" t="inlineStr">
        <is>
          <t>GST-000002</t>
        </is>
      </c>
      <c r="B4" s="7">
        <f>Projects!$A$4</f>
        <v/>
      </c>
      <c r="C4" s="7">
        <f>Projects!$C$4</f>
        <v/>
      </c>
      <c r="D4" s="7">
        <f>IF(COUNTIFS(Orders!$A$3:$A$20,$C4,Orders!$R$3:$R$20,"READY")&gt;0,1,0)</f>
        <v/>
      </c>
      <c r="E4" s="7">
        <f>IF(COUNTIFS(Feasibility!$B$3:$B$20,$B4,Feasibility!$M$3:$M$20,"COMPLETE")&gt;0,1,0)</f>
        <v/>
      </c>
      <c r="F4" s="7">
        <f>IF(AND(COUNTIFS(Engineering!$B$3:$B$20,$B4,Engineering!$H$3:$H$20,"Approved")&gt;0,COUNTIFS(Time_Study!$B$3:$B$20,$B4)&gt;0,COUNTIFS(BOM_Header!$C$3:$C$20,XLOOKUP(XLOOKUP($B4,Projects!$A$3:$A$20,Projects!$E$3:$E$20,""),Product_Revisions!$B$3:$B$20,Product_Revisions!$A$3:$A$20,""),BOM_Header!$I$3:$I$20,"Approved")&gt;0),1,0)</f>
        <v/>
      </c>
      <c r="G4" s="7">
        <f>IF(AND(COUNTIFS(Project_Equipment!$B$3:$B$20,$B4)&gt;0,COUNTIFS(Project_Equipment!$B$3:$B$20,$B4,Project_Equipment!$N$3:$N$20,"PRICED")=COUNTIFS(Project_Equipment!$B$3:$B$20,$B4),COUNTIFS(Purchase_Prices!$S$3:$S$20,"Approved",Purchase_Prices!$R$3:$R$20,0)&gt;0),1,0)</f>
        <v/>
      </c>
      <c r="H4" s="7">
        <f>IF(AND(COUNTIFS(Planning!$B$3:$B$30,$B4)&gt;0,COUNTIFS(Planning!$B$3:$B$30,$B4,Planning!$R$3:$R$30,"Approved")=COUNTIFS(Planning!$B$3:$B$30,$B4)),1,0)</f>
        <v/>
      </c>
      <c r="I4" s="7">
        <f>IF(COUNTIFS(Costing!$B$3:$B$10,$B4,Costing!$D$3:$D$10,"Approved")&gt;0,1,0)</f>
        <v/>
      </c>
      <c r="J4" s="7">
        <f>IF(COUNTIFS(Sales_Quotation!$B$3:$B$10,$B4,Sales_Quotation!$O$3:$O$10,"Submitted")&gt;0,1,0)</f>
        <v/>
      </c>
      <c r="K4" s="7">
        <f>IF(COUNTIFS(PMO_Summary!$B$3:$B$10,$B4,PMO_Summary!$J$3:$J$10,"REPORTED")&gt;0,1,0)</f>
        <v/>
      </c>
      <c r="L4" s="7">
        <f>IF($M4&lt;&gt;"",1,0)</f>
        <v/>
      </c>
      <c r="M4" s="7">
        <f>IFERROR(XLOOKUP($B4,Management_Approval!$C$3:$C$10,Management_Approval!$D$3:$D$10,""),"")</f>
        <v/>
      </c>
      <c r="N4" s="7">
        <f>$D4</f>
        <v/>
      </c>
      <c r="O4" s="7">
        <f>$D4*$E4</f>
        <v/>
      </c>
      <c r="P4" s="7">
        <f>$O4*$F4</f>
        <v/>
      </c>
      <c r="Q4" s="7">
        <f>$P4*$G4</f>
        <v/>
      </c>
      <c r="R4" s="7">
        <f>$Q4*$H4</f>
        <v/>
      </c>
      <c r="S4" s="8">
        <f>$R4*$I4</f>
        <v/>
      </c>
      <c r="T4" s="7">
        <f>$S4*$J4</f>
        <v/>
      </c>
      <c r="U4" s="7">
        <f>$T4*$K4</f>
        <v/>
      </c>
      <c r="V4" s="7">
        <f>SUM($D4:$K4)</f>
        <v/>
      </c>
      <c r="W4" s="9">
        <f>ROUND($V4/8,3)</f>
        <v/>
      </c>
      <c r="X4" s="7">
        <f>IF($L4=1,"چرخه کامل — تصمیم ثبت شده",IF($D4=0,"بررسی سفارش (فروش)",IF($E4=0,"تعریف پروژه و امکان‌سنجی (مدیر پروژه)",IF($F4=0,"مهندسی (اقلام/تجهیزات/زمان‌سنجی)",IF($G4=0,"بازرگانی (قیمت‌دهی اقلام)",IF($H4=0,"برنامه‌ریزی تولید و انبارها",IF($I4=0,"مالی (قیمت تمام‌شده و بودجه)",IF($J4=0,"فروش (قیمت نهایی و نحوه پرداخت)",IF($K4=0,"جمع‌بندی و اعلام به مدیریت ارشد","در انتظار تصمیم مدیریت ارشد")))))))))</f>
        <v/>
      </c>
      <c r="Y4" s="7" t="n"/>
      <c r="Z4" s="7" t="n"/>
      <c r="AA4" s="7" t="n"/>
      <c r="AB4" s="7" t="n"/>
      <c r="AC4" s="7" t="n"/>
      <c r="AD4" s="7" t="n"/>
      <c r="AE4" s="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F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1" customWidth="1" min="5" max="5"/>
    <col width="11" customWidth="1" min="6" max="6"/>
  </cols>
  <sheetData>
    <row r="1">
      <c r="A1" s="1" t="inlineStr">
        <is>
          <t>Access_Control</t>
        </is>
      </c>
      <c r="B1" s="3" t="inlineStr">
        <is>
          <t>هر نقش فقط محدوده‌های خودش را (با گذرواژه خود) می‌تواند ویرایش کند؛ مشاهده همه شیت‌ها آزاد است. اعمال فنی: Sheet Protection + Protected Ranges. برای تغییر گذرواژه‌ها، اسکریپت ساخت را ویرایش و بازتولید کنید.</t>
        </is>
      </c>
    </row>
    <row r="2">
      <c r="A2" s="4" t="inlineStr">
        <is>
          <t>Role_ID</t>
        </is>
      </c>
      <c r="B2" s="4" t="inlineStr">
        <is>
          <t>Role_Name</t>
        </is>
      </c>
      <c r="C2" s="4" t="inlineStr">
        <is>
          <t>Department_ID</t>
        </is>
      </c>
      <c r="D2" s="4" t="inlineStr">
        <is>
          <t>Edit_Password</t>
        </is>
      </c>
      <c r="E2" s="4" t="inlineStr">
        <is>
          <t>Scope</t>
        </is>
      </c>
      <c r="F2" s="4" t="inlineStr">
        <is>
          <t>Notes</t>
        </is>
      </c>
    </row>
    <row r="3">
      <c r="A3" s="2" t="inlineStr">
        <is>
          <t>ROL-02</t>
        </is>
      </c>
      <c r="B3" s="2" t="inlineStr">
        <is>
          <t>Sales (فروش)</t>
        </is>
      </c>
      <c r="C3" s="2" t="inlineStr">
        <is>
          <t>DEP-01</t>
        </is>
      </c>
      <c r="D3" s="2" t="inlineStr">
        <is>
          <t>فروش1404</t>
        </is>
      </c>
      <c r="E3" s="2" t="inlineStr">
        <is>
          <t>Orders (ثبت و بررسی سفارش) | Sales_Quotation (قیمت نهایی/حاشیه) | Payment_Terms (نحوه پرداخت)</t>
        </is>
      </c>
      <c r="F3" s="2" t="inlineStr">
        <is>
          <t>فقط ورودی‌های واحد فروش؛ مشاهده همه شیت‌ها آزاد است</t>
        </is>
      </c>
    </row>
    <row r="4">
      <c r="A4" s="7" t="inlineStr">
        <is>
          <t>ROL-03</t>
        </is>
      </c>
      <c r="B4" s="7" t="inlineStr">
        <is>
          <t>Project Manager (مدیر پروژه)</t>
        </is>
      </c>
      <c r="C4" s="7" t="inlineStr">
        <is>
          <t>DEP-06</t>
        </is>
      </c>
      <c r="D4" s="7" t="inlineStr">
        <is>
          <t>مدیر1404</t>
        </is>
      </c>
      <c r="E4" s="7" t="inlineStr">
        <is>
          <t>Projects | Feasibility | Schedule | Gantt | PMO_Summary</t>
        </is>
      </c>
      <c r="F4" s="7" t="inlineStr">
        <is>
          <t>مشاهده همه بخش‌ها آزاد؛ ویرایش فقط در بخش‌های خود (تعریف پروژه، امکان‌سنجی، گانت، جمع‌بندی)</t>
        </is>
      </c>
    </row>
    <row r="5">
      <c r="A5" s="2" t="inlineStr">
        <is>
          <t>ROL-04</t>
        </is>
      </c>
      <c r="B5" s="2" t="inlineStr">
        <is>
          <t>Engineering (مهندسی)</t>
        </is>
      </c>
      <c r="C5" s="2" t="inlineStr">
        <is>
          <t>DEP-02</t>
        </is>
      </c>
      <c r="D5" s="2" t="inlineStr">
        <is>
          <t>مهندسی1404</t>
        </is>
      </c>
      <c r="E5" s="2" t="inlineStr">
        <is>
          <t>Engineering | BOM_Header | BOM_Detail | Materials | Equipment | Project_Equipment (بخش مهندسی) | Time_Study</t>
        </is>
      </c>
      <c r="F5" s="2" t="inlineStr">
        <is>
          <t>تهیه لیست اقلام/تجهیزات، زمان‌سنجی و نفرساعت؛ نگهداری لیست‌های مرجع</t>
        </is>
      </c>
    </row>
    <row r="6">
      <c r="A6" s="7" t="inlineStr">
        <is>
          <t>ROL-06</t>
        </is>
      </c>
      <c r="B6" s="7" t="inlineStr">
        <is>
          <t>Commercial (بازرگانی)</t>
        </is>
      </c>
      <c r="C6" s="7" t="inlineStr">
        <is>
          <t>DEP-04</t>
        </is>
      </c>
      <c r="D6" s="7" t="inlineStr">
        <is>
          <t>بازرگانی1404</t>
        </is>
      </c>
      <c r="E6" s="7" t="inlineStr">
        <is>
          <t>Supplier_Quotes | Supplier_Quote_Lines | Procurement | Purchase_Prices | Project_Equipment (بخش قیمت‌دهی)</t>
        </is>
      </c>
      <c r="F6" s="7" t="inlineStr">
        <is>
          <t>قیمت‌دهی اقلامِ فهرست مهندسی + نرخ ارز برای اقلام وارداتی</t>
        </is>
      </c>
    </row>
    <row r="7">
      <c r="A7" s="2" t="inlineStr">
        <is>
          <t>ROL-05</t>
        </is>
      </c>
      <c r="B7" s="2" t="inlineStr">
        <is>
          <t>Planning (برنامه‌ریزی تولید و انبارها)</t>
        </is>
      </c>
      <c r="C7" s="2" t="inlineStr">
        <is>
          <t>DEP-03</t>
        </is>
      </c>
      <c r="D7" s="2" t="inlineStr">
        <is>
          <t>برنامه1404</t>
        </is>
      </c>
      <c r="E7" s="2" t="inlineStr">
        <is>
          <t>Planning (تاریخ نیاز/وضعیت تأمین) | Inventory</t>
        </is>
      </c>
      <c r="F7" s="2" t="inlineStr">
        <is>
          <t>مقدار مورد نیاز از مهندسی (BOM) محاسبه می‌شود؛ برنامه‌ریزی زمان‌بندی نیاز را ثبت می‌کند</t>
        </is>
      </c>
    </row>
    <row r="8">
      <c r="A8" s="7" t="inlineStr">
        <is>
          <t>ROL-10</t>
        </is>
      </c>
      <c r="B8" s="7" t="inlineStr">
        <is>
          <t>Warehouse (انبار)</t>
        </is>
      </c>
      <c r="C8" s="7" t="inlineStr">
        <is>
          <t>DEP-03</t>
        </is>
      </c>
      <c r="D8" s="7" t="inlineStr">
        <is>
          <t>انبار1404</t>
        </is>
      </c>
      <c r="E8" s="7" t="inlineStr">
        <is>
          <t>Receipts (رسیدهای انبار) | Inventory (موجودی)</t>
        </is>
      </c>
      <c r="F8" s="7" t="inlineStr">
        <is>
          <t>ثبت رسید اقلام و نگهداری موجودی</t>
        </is>
      </c>
    </row>
    <row r="9">
      <c r="A9" s="2" t="inlineStr">
        <is>
          <t>ROL-07</t>
        </is>
      </c>
      <c r="B9" s="2" t="inlineStr">
        <is>
          <t>Finance (مالی)</t>
        </is>
      </c>
      <c r="C9" s="2" t="inlineStr">
        <is>
          <t>DEP-05</t>
        </is>
      </c>
      <c r="D9" s="2" t="inlineStr">
        <is>
          <t>مالی1404</t>
        </is>
      </c>
      <c r="E9" s="2" t="inlineStr">
        <is>
          <t>Cost_Lines | Costing | Budget</t>
        </is>
      </c>
      <c r="F9" s="2" t="inlineStr">
        <is>
          <t>قیمت تمام‌شده محصول + تدوین بودجه راه‌اندازی</t>
        </is>
      </c>
    </row>
    <row r="10">
      <c r="A10" s="7" t="inlineStr">
        <is>
          <t>ROL-08</t>
        </is>
      </c>
      <c r="B10" s="7" t="inlineStr">
        <is>
          <t>Senior Management (مدیریت ارشد)</t>
        </is>
      </c>
      <c r="C10" s="7" t="inlineStr">
        <is>
          <t>DEP-07</t>
        </is>
      </c>
      <c r="D10" s="7" t="inlineStr">
        <is>
          <t>ارشد1404</t>
        </is>
      </c>
      <c r="E10" s="7" t="inlineStr">
        <is>
          <t>Management_Approval (تصمیم نهایی: تأیید / رد / برگشت برای اصلاح)</t>
        </is>
      </c>
      <c r="F10" s="7" t="inlineStr">
        <is>
          <t>فقط ثبت تصمیم؛ سایر بخش‌ها صرفاً قابل مشاهده</t>
        </is>
      </c>
    </row>
    <row r="11">
      <c r="A11" s="2" t="inlineStr">
        <is>
          <t>ROL-09</t>
        </is>
      </c>
      <c r="B11" s="2" t="inlineStr">
        <is>
          <t>Admin (راهبر)</t>
        </is>
      </c>
      <c r="C11" s="2" t="inlineStr">
        <is>
          <t>—</t>
        </is>
      </c>
      <c r="D11" s="2" t="inlineStr">
        <is>
          <t>راهبر1404</t>
        </is>
      </c>
      <c r="E11" s="2" t="inlineStr">
        <is>
          <t>باز/بستن محافظت شیت‌ها و تغییر گذرواژه‌ها</t>
        </is>
      </c>
      <c r="F11" s="2" t="inlineStr">
        <is>
          <t>گذرواژه محافظت شیت‌ها؛ در اختیار مدیر سیستم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U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28" customWidth="1" min="4" max="4"/>
    <col width="15" customWidth="1" min="5" max="5"/>
    <col width="12" customWidth="1" min="6" max="6"/>
    <col width="18" customWidth="1" min="7" max="7"/>
    <col width="16" customWidth="1" min="8" max="8"/>
    <col width="16" customWidth="1" min="9" max="9"/>
    <col width="26" customWidth="1" min="10" max="10"/>
    <col width="21" customWidth="1" min="11" max="11"/>
    <col width="11" customWidth="1" min="12" max="12"/>
    <col width="12" customWidth="1" min="13" max="13"/>
    <col width="25" customWidth="1" min="14" max="14"/>
    <col width="21" customWidth="1" min="15" max="15"/>
    <col width="27" customWidth="1" min="16" max="16"/>
    <col width="26" customWidth="1" min="17" max="17"/>
    <col width="13" customWidth="1" min="18" max="18"/>
    <col width="18" customWidth="1" min="19" max="19"/>
    <col width="14" customWidth="1" min="20" max="20"/>
    <col width="13" customWidth="1" min="21" max="21"/>
  </cols>
  <sheetData>
    <row r="1">
      <c r="A1" s="1" t="inlineStr">
        <is>
          <t>Orders</t>
        </is>
      </c>
      <c r="B1" s="3" t="inlineStr">
        <is>
          <t>کنترل اولیه سفارش (CO_01..CO_04)؛ تا Ready_Flag=READY نباشد ورود به مهندسی مجاز نیست.</t>
        </is>
      </c>
    </row>
    <row r="2">
      <c r="A2" s="4" t="inlineStr">
        <is>
          <t>System_ID</t>
        </is>
      </c>
      <c r="B2" s="4" t="inlineStr">
        <is>
          <t>Customer_ID</t>
        </is>
      </c>
      <c r="C2" s="4" t="inlineStr">
        <is>
          <t>Order_Date</t>
        </is>
      </c>
      <c r="D2" s="4" t="inlineStr">
        <is>
          <t>Requested_Delivery_Date</t>
        </is>
      </c>
      <c r="E2" s="4" t="inlineStr">
        <is>
          <t>Request_Type</t>
        </is>
      </c>
      <c r="F2" s="4" t="inlineStr">
        <is>
          <t>Total_Qty</t>
        </is>
      </c>
      <c r="G2" s="4" t="inlineStr">
        <is>
          <t>Delivery_Terms</t>
        </is>
      </c>
      <c r="H2" s="4" t="inlineStr">
        <is>
          <t>Payment_Terms</t>
        </is>
      </c>
      <c r="I2" s="4" t="inlineStr">
        <is>
          <t>Validity_Days</t>
        </is>
      </c>
      <c r="J2" s="4" t="inlineStr">
        <is>
          <t>Confidentiality_Level</t>
        </is>
      </c>
      <c r="K2" s="4" t="inlineStr">
        <is>
          <t>Sales_Responsible</t>
        </is>
      </c>
      <c r="L2" s="4" t="inlineStr">
        <is>
          <t>Doc_Ref</t>
        </is>
      </c>
      <c r="M2" s="4" t="inlineStr">
        <is>
          <t>Status_ID</t>
        </is>
      </c>
      <c r="N2" s="4" t="inlineStr">
        <is>
          <t>CO_01_Customer_Valid</t>
        </is>
      </c>
      <c r="O2" s="4" t="inlineStr">
        <is>
          <t>CO_02_Qty_Defined</t>
        </is>
      </c>
      <c r="P2" s="4" t="inlineStr">
        <is>
          <t>CO_03_Delivery_Defined</t>
        </is>
      </c>
      <c r="Q2" s="4" t="inlineStr">
        <is>
          <t>CO_04_Payment_Defined</t>
        </is>
      </c>
      <c r="R2" s="4" t="inlineStr">
        <is>
          <t>Ready_Flag</t>
        </is>
      </c>
      <c r="S2" s="4" t="inlineStr">
        <is>
          <t>Duplicate_Flag</t>
        </is>
      </c>
      <c r="T2" s="4" t="inlineStr">
        <is>
          <t>Create_Date</t>
        </is>
      </c>
      <c r="U2" s="4" t="inlineStr">
        <is>
          <t>Created_By</t>
        </is>
      </c>
    </row>
    <row r="3">
      <c r="A3" s="2" t="inlineStr">
        <is>
          <t>ORD-2026-00321</t>
        </is>
      </c>
      <c r="B3" s="2" t="inlineStr">
        <is>
          <t>CUS-000001</t>
        </is>
      </c>
      <c r="C3" s="10" t="n">
        <v>46285</v>
      </c>
      <c r="D3" s="10" t="n">
        <v>46376</v>
      </c>
      <c r="E3" s="2" t="inlineStr">
        <is>
          <t>New</t>
        </is>
      </c>
      <c r="F3" s="5">
        <f>SUMIF(Order_Lines!$B$3:$B$20,$A3,Order_Lines!$E$3:$E$20)</f>
        <v/>
      </c>
      <c r="G3" s="2" t="inlineStr">
        <is>
          <t>CPT سایت عسلویه</t>
        </is>
      </c>
      <c r="H3" s="2" t="inlineStr">
        <is>
          <t>30% پیش‌پرداخت + 70% اعتبار 60 روزه</t>
        </is>
      </c>
      <c r="I3" s="11" t="n">
        <v>30</v>
      </c>
      <c r="J3" s="12" t="inlineStr">
        <is>
          <t>Confidential</t>
        </is>
      </c>
      <c r="K3" s="2" t="inlineStr">
        <is>
          <t>USR-02</t>
        </is>
      </c>
      <c r="L3" s="2" t="inlineStr">
        <is>
          <t>RFQ-SABA-2026-09-001</t>
        </is>
      </c>
      <c r="M3" s="2" t="inlineStr">
        <is>
          <t>Approved</t>
        </is>
      </c>
      <c r="N3" s="2">
        <f>IF(TRIM($B3)&lt;&gt;"","OK","MISSING")</f>
        <v/>
      </c>
      <c r="O3" s="10">
        <f>IF(SUMIF(Order_Lines!$B$3:$B$20,$A3,Order_Lines!$E$3:$E$20)&gt;0,"OK","MISSING")</f>
        <v/>
      </c>
      <c r="P3" s="10">
        <f>IF(TRIM($D3)&lt;&gt;"","OK","MISSING")</f>
        <v/>
      </c>
      <c r="Q3" s="10">
        <f>IF(TRIM($H3)&lt;&gt;"","OK","MISSING")</f>
        <v/>
      </c>
      <c r="R3" s="2">
        <f>IF(AND($N3="OK",$O3="OK",$P3="OK",$Q3="OK"),"READY","INCOMPLETE")</f>
        <v/>
      </c>
      <c r="S3" s="2">
        <f>IF(COUNTIF($A$3:$A$1000,$A3)&gt;1,"DUP","OK")</f>
        <v/>
      </c>
      <c r="T3" s="10" t="n">
        <v>46285</v>
      </c>
      <c r="U3" s="10" t="inlineStr">
        <is>
          <t>USR-02</t>
        </is>
      </c>
    </row>
    <row r="4">
      <c r="A4" s="7" t="inlineStr">
        <is>
          <t>ORD-2026-00322</t>
        </is>
      </c>
      <c r="B4" s="7" t="inlineStr">
        <is>
          <t>CUS-000002</t>
        </is>
      </c>
      <c r="C4" s="13" t="n">
        <v>46286</v>
      </c>
      <c r="D4" s="13" t="n">
        <v>46402</v>
      </c>
      <c r="E4" s="7" t="inlineStr">
        <is>
          <t>New</t>
        </is>
      </c>
      <c r="F4" s="8">
        <f>SUMIF(Order_Lines!$B$3:$B$20,$A4,Order_Lines!$E$3:$E$20)</f>
        <v/>
      </c>
      <c r="G4" s="7" t="inlineStr">
        <is>
          <t>CPT بندرعباس</t>
        </is>
      </c>
      <c r="H4" s="7" t="inlineStr">
        <is>
          <t>LC</t>
        </is>
      </c>
      <c r="I4" s="14" t="n">
        <v>45</v>
      </c>
      <c r="J4" s="15" t="inlineStr">
        <is>
          <t>Internal</t>
        </is>
      </c>
      <c r="K4" s="7" t="inlineStr">
        <is>
          <t>USR-02</t>
        </is>
      </c>
      <c r="L4" s="7" t="inlineStr">
        <is>
          <t>RFQ-STAREH-2026-09-002</t>
        </is>
      </c>
      <c r="M4" s="7" t="inlineStr">
        <is>
          <t>Draft</t>
        </is>
      </c>
      <c r="N4" s="7">
        <f>IF(TRIM($B4)&lt;&gt;"","OK","MISSING")</f>
        <v/>
      </c>
      <c r="O4" s="13">
        <f>IF(SUMIF(Order_Lines!$B$3:$B$20,$A4,Order_Lines!$E$3:$E$20)&gt;0,"OK","MISSING")</f>
        <v/>
      </c>
      <c r="P4" s="13">
        <f>IF(TRIM($D4)&lt;&gt;"","OK","MISSING")</f>
        <v/>
      </c>
      <c r="Q4" s="13">
        <f>IF(TRIM($H4)&lt;&gt;"","OK","MISSING")</f>
        <v/>
      </c>
      <c r="R4" s="7">
        <f>IF(AND($N4="OK",$O4="OK",$P4="OK",$Q4="OK"),"READY","INCOMPLETE")</f>
        <v/>
      </c>
      <c r="S4" s="7">
        <f>IF(COUNTIF($A$3:$A$1000,$A4)&gt;1,"DUP","OK")</f>
        <v/>
      </c>
      <c r="T4" s="13" t="n">
        <v>46285</v>
      </c>
      <c r="U4" s="13" t="inlineStr">
        <is>
          <t>USR-02</t>
        </is>
      </c>
    </row>
    <row r="5">
      <c r="A5" s="2" t="inlineStr">
        <is>
          <t>ORD-2026-00323</t>
        </is>
      </c>
      <c r="B5" s="2" t="inlineStr">
        <is>
          <t>CUS-000001</t>
        </is>
      </c>
      <c r="C5" s="10" t="n">
        <v>46286</v>
      </c>
      <c r="D5" s="10" t="n"/>
      <c r="E5" s="2" t="inlineStr">
        <is>
          <t>New</t>
        </is>
      </c>
      <c r="F5" s="5">
        <f>SUMIF(Order_Lines!$B$3:$B$20,$A5,Order_Lines!$E$3:$E$20)</f>
        <v/>
      </c>
      <c r="G5" s="2" t="inlineStr"/>
      <c r="H5" s="2" t="inlineStr"/>
      <c r="I5" s="11" t="n">
        <v>30</v>
      </c>
      <c r="J5" s="12" t="inlineStr">
        <is>
          <t>Internal</t>
        </is>
      </c>
      <c r="K5" s="2" t="inlineStr">
        <is>
          <t>USR-02</t>
        </is>
      </c>
      <c r="L5" s="2" t="inlineStr">
        <is>
          <t>RFQ-SABA-2026-09-009</t>
        </is>
      </c>
      <c r="M5" s="2" t="inlineStr">
        <is>
          <t>Draft</t>
        </is>
      </c>
      <c r="N5" s="2">
        <f>IF(TRIM($B5)&lt;&gt;"","OK","MISSING")</f>
        <v/>
      </c>
      <c r="O5" s="10">
        <f>IF(SUMIF(Order_Lines!$B$3:$B$20,$A5,Order_Lines!$E$3:$E$20)&gt;0,"OK","MISSING")</f>
        <v/>
      </c>
      <c r="P5" s="10">
        <f>IF(TRIM($D5)&lt;&gt;"","OK","MISSING")</f>
        <v/>
      </c>
      <c r="Q5" s="10">
        <f>IF(TRIM($H5)&lt;&gt;"","OK","MISSING")</f>
        <v/>
      </c>
      <c r="R5" s="2">
        <f>IF(AND($N5="OK",$O5="OK",$P5="OK",$Q5="OK"),"READY","INCOMPLETE")</f>
        <v/>
      </c>
      <c r="S5" s="2">
        <f>IF(COUNTIF($A$3:$A$1000,$A5)&gt;1,"DUP","OK")</f>
        <v/>
      </c>
      <c r="T5" s="10" t="n">
        <v>46285</v>
      </c>
      <c r="U5" s="10" t="inlineStr">
        <is>
          <t>USR-02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2_1" sqref="B3:E20" password="AC25"/>
    <protectedRange name="ROL-02_2" sqref="G3:M20" password="AC25"/>
  </protectedRanges>
  <conditionalFormatting sqref="R3:R5">
    <cfRule type="cellIs" priority="1" operator="equal" dxfId="0">
      <formula>"READY"</formula>
    </cfRule>
    <cfRule type="cellIs" priority="2" operator="equal" dxfId="1">
      <formula>"INCOMPLETE"</formula>
    </cfRule>
  </conditionalFormatting>
  <dataValidations count="3">
    <dataValidation sqref="E3:E5" showDropDown="0" showInputMessage="0" showErrorMessage="1" allowBlank="1" errorTitle="Data Validation" error="مقدار خارج از فهرست مجاز است" promptTitle="Request_Type" prompt="انتخاب از فهرست مجاز برای Request_Type" type="list">
      <formula1>"New,Repeat,Amendment"</formula1>
    </dataValidation>
    <dataValidation sqref="J3:J5" showDropDown="0" showInputMessage="0" showErrorMessage="1" allowBlank="1" errorTitle="Data Validation" error="مقدار خارج از فهرست مجاز است" promptTitle="Confidentiality_Level" prompt="انتخاب از فهرست مجاز برای Confidentiality_Level" type="list">
      <formula1>"Public,Internal,Confidential,Strictly Confidential"</formula1>
    </dataValidation>
    <dataValidation sqref="M3:M5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I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3" customWidth="1" min="4" max="4"/>
    <col width="11" customWidth="1" min="5" max="5"/>
    <col width="11" customWidth="1" min="6" max="6"/>
    <col width="14" customWidth="1" min="7" max="7"/>
    <col width="14" customWidth="1" min="8" max="8"/>
    <col width="13" customWidth="1" min="9" max="9"/>
  </cols>
  <sheetData>
    <row r="1">
      <c r="A1" s="1" t="inlineStr">
        <is>
          <t>Order_Lines</t>
        </is>
      </c>
      <c r="B1" s="3" t="inlineStr">
        <is>
          <t>هر سفارش می‌تواند چند ردیف محصول داشته باشد (Order → Order_Line → Product).</t>
        </is>
      </c>
    </row>
    <row r="2">
      <c r="A2" s="4" t="inlineStr">
        <is>
          <t>System_ID</t>
        </is>
      </c>
      <c r="B2" s="4" t="inlineStr">
        <is>
          <t>Order_ID</t>
        </is>
      </c>
      <c r="C2" s="4" t="inlineStr">
        <is>
          <t>Line_No</t>
        </is>
      </c>
      <c r="D2" s="4" t="inlineStr">
        <is>
          <t>Product_ID</t>
        </is>
      </c>
      <c r="E2" s="4" t="inlineStr">
        <is>
          <t>Quantity</t>
        </is>
      </c>
      <c r="F2" s="4" t="inlineStr">
        <is>
          <t>UoM</t>
        </is>
      </c>
      <c r="G2" s="4" t="inlineStr">
        <is>
          <t>Latest_FLAG</t>
        </is>
      </c>
      <c r="H2" s="4" t="inlineStr">
        <is>
          <t>Create_Date</t>
        </is>
      </c>
      <c r="I2" s="4" t="inlineStr">
        <is>
          <t>Created_By</t>
        </is>
      </c>
    </row>
    <row r="3">
      <c r="A3" s="2" t="inlineStr">
        <is>
          <t>OLN-000456</t>
        </is>
      </c>
      <c r="B3" s="2" t="inlineStr">
        <is>
          <t>ORD-2026-00321</t>
        </is>
      </c>
      <c r="C3" s="12" t="n">
        <v>1</v>
      </c>
      <c r="D3" s="2" t="inlineStr">
        <is>
          <t>PRD-000125</t>
        </is>
      </c>
      <c r="E3" s="12" t="n">
        <v>2</v>
      </c>
      <c r="F3" s="2" t="inlineStr">
        <is>
          <t>pcs</t>
        </is>
      </c>
      <c r="G3" s="2" t="n">
        <v>1</v>
      </c>
      <c r="H3" s="10" t="n">
        <v>46285</v>
      </c>
      <c r="I3" s="10" t="inlineStr">
        <is>
          <t>USR-02</t>
        </is>
      </c>
    </row>
    <row r="4">
      <c r="A4" s="7" t="inlineStr">
        <is>
          <t>OLN-000457</t>
        </is>
      </c>
      <c r="B4" s="7" t="inlineStr">
        <is>
          <t>ORD-2026-00321</t>
        </is>
      </c>
      <c r="C4" s="15" t="n">
        <v>2</v>
      </c>
      <c r="D4" s="7" t="inlineStr">
        <is>
          <t>PRD-000126</t>
        </is>
      </c>
      <c r="E4" s="15" t="n">
        <v>1</v>
      </c>
      <c r="F4" s="7" t="inlineStr">
        <is>
          <t>pcs</t>
        </is>
      </c>
      <c r="G4" s="7" t="n">
        <v>1</v>
      </c>
      <c r="H4" s="13" t="n">
        <v>46285</v>
      </c>
      <c r="I4" s="13" t="inlineStr">
        <is>
          <t>USR-02</t>
        </is>
      </c>
    </row>
    <row r="5">
      <c r="A5" s="2" t="inlineStr">
        <is>
          <t>OLN-000458</t>
        </is>
      </c>
      <c r="B5" s="2" t="inlineStr">
        <is>
          <t>ORD-2026-00322</t>
        </is>
      </c>
      <c r="C5" s="12" t="n">
        <v>1</v>
      </c>
      <c r="D5" s="2" t="inlineStr">
        <is>
          <t>PRD-000125</t>
        </is>
      </c>
      <c r="E5" s="12" t="n">
        <v>1</v>
      </c>
      <c r="F5" s="2" t="inlineStr">
        <is>
          <t>pcs</t>
        </is>
      </c>
      <c r="G5" s="2" t="n">
        <v>1</v>
      </c>
      <c r="H5" s="10" t="n">
        <v>46285</v>
      </c>
      <c r="I5" s="10" t="inlineStr">
        <is>
          <t>USR-02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2_1" sqref="B3:G20" password="AC25"/>
  </protectedRanges>
  <dataValidations count="1">
    <dataValidation sqref="F3:F5" showDropDown="0" showInputMessage="0" showErrorMessage="1" allowBlank="1" errorTitle="Data Validation" error="مقدار خارج از فهرست مجاز است" promptTitle="UoM" prompt="انتخاب از فهرست مجاز برای UoM" type="list">
      <formula1>"pcs,kg,m,m2,liter,set,ton"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F4C81"/>
    <outlinePr summaryBelow="1" summaryRight="1"/>
    <pageSetUpPr/>
  </sheetPr>
  <dimension ref="A1:Q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4" customWidth="1" min="4" max="4"/>
    <col width="13" customWidth="1" min="5" max="5"/>
    <col width="15" customWidth="1" min="6" max="6"/>
    <col width="19" customWidth="1" min="7" max="7"/>
    <col width="13" customWidth="1" min="8" max="8"/>
    <col width="11" customWidth="1" min="9" max="9"/>
    <col width="11" customWidth="1" min="10" max="10"/>
    <col width="12" customWidth="1" min="11" max="11"/>
    <col width="13" customWidth="1" min="12" max="12"/>
    <col width="11" customWidth="1" min="13" max="13"/>
    <col width="12" customWidth="1" min="14" max="14"/>
    <col width="15" customWidth="1" min="15" max="15"/>
    <col width="14" customWidth="1" min="16" max="16"/>
    <col width="13" customWidth="1" min="17" max="17"/>
  </cols>
  <sheetData>
    <row r="1">
      <c r="A1" s="1" t="inlineStr">
        <is>
          <t>Projects</t>
        </is>
      </c>
    </row>
    <row r="2">
      <c r="A2" s="4" t="inlineStr">
        <is>
          <t>System_ID</t>
        </is>
      </c>
      <c r="B2" s="4" t="inlineStr">
        <is>
          <t>Project_Code</t>
        </is>
      </c>
      <c r="C2" s="4" t="inlineStr">
        <is>
          <t>Order_ID</t>
        </is>
      </c>
      <c r="D2" s="4" t="inlineStr">
        <is>
          <t>Customer_ID</t>
        </is>
      </c>
      <c r="E2" s="4" t="inlineStr">
        <is>
          <t>Product_ID</t>
        </is>
      </c>
      <c r="F2" s="4" t="inlineStr">
        <is>
          <t>Project_Name</t>
        </is>
      </c>
      <c r="G2" s="4" t="inlineStr">
        <is>
          <t>Project_Manager</t>
        </is>
      </c>
      <c r="H2" s="4" t="inlineStr">
        <is>
          <t>Start_Date</t>
        </is>
      </c>
      <c r="I2" s="4" t="inlineStr">
        <is>
          <t>Due_Date</t>
        </is>
      </c>
      <c r="J2" s="4" t="inlineStr">
        <is>
          <t>Priority</t>
        </is>
      </c>
      <c r="K2" s="4" t="inlineStr">
        <is>
          <t>Status_ID</t>
        </is>
      </c>
      <c r="L2" s="4" t="inlineStr">
        <is>
          <t>Progress_%</t>
        </is>
      </c>
      <c r="M2" s="4" t="inlineStr">
        <is>
          <t>Sponsor</t>
        </is>
      </c>
      <c r="N2" s="4" t="inlineStr">
        <is>
          <t>Team_List</t>
        </is>
      </c>
      <c r="O2" s="4" t="inlineStr">
        <is>
          <t>Overdue_Flag</t>
        </is>
      </c>
      <c r="P2" s="4" t="inlineStr">
        <is>
          <t>Create_Date</t>
        </is>
      </c>
      <c r="Q2" s="4" t="inlineStr">
        <is>
          <t>Created_By</t>
        </is>
      </c>
    </row>
    <row r="3">
      <c r="A3" s="2" t="inlineStr">
        <is>
          <t>PRJ-2026-00125</t>
        </is>
      </c>
      <c r="B3" s="2" t="inlineStr">
        <is>
          <t>PRJ-001</t>
        </is>
      </c>
      <c r="C3" s="2" t="inlineStr">
        <is>
          <t>ORD-2026-00321</t>
        </is>
      </c>
      <c r="D3" s="2" t="inlineStr">
        <is>
          <t>CUS-000001</t>
        </is>
      </c>
      <c r="E3" s="2" t="inlineStr">
        <is>
          <t>PRD-000125</t>
        </is>
      </c>
      <c r="F3" s="2" t="inlineStr">
        <is>
          <t>پمپ PMP-250 صبا</t>
        </is>
      </c>
      <c r="G3" s="2" t="inlineStr">
        <is>
          <t>USR-03</t>
        </is>
      </c>
      <c r="H3" s="10" t="n">
        <v>46286</v>
      </c>
      <c r="I3" s="10" t="n">
        <v>46376</v>
      </c>
      <c r="J3" s="2" t="inlineStr">
        <is>
          <t>High</t>
        </is>
      </c>
      <c r="K3" s="2" t="inlineStr">
        <is>
          <t>Approved</t>
        </is>
      </c>
      <c r="L3" s="6" t="n">
        <v>0.45</v>
      </c>
      <c r="M3" s="2" t="inlineStr">
        <is>
          <t>USR-08</t>
        </is>
      </c>
      <c r="N3" s="2" t="inlineStr">
        <is>
          <t>Neda E, Kaveh P, Mina T, Ali F</t>
        </is>
      </c>
      <c r="O3" s="2">
        <f>IF(ISBLANK($I3),0,IF(AND($I3&lt;TODAY(),$K3&lt;&gt;"Closed"),1,0))</f>
        <v/>
      </c>
      <c r="P3" s="10" t="n">
        <v>46286</v>
      </c>
      <c r="Q3" s="10" t="inlineStr">
        <is>
          <t>USR-03</t>
        </is>
      </c>
    </row>
    <row r="4">
      <c r="A4" s="7" t="inlineStr">
        <is>
          <t>PRJ-2026-00126</t>
        </is>
      </c>
      <c r="B4" s="7" t="inlineStr">
        <is>
          <t>PRJ-002</t>
        </is>
      </c>
      <c r="C4" s="7" t="inlineStr">
        <is>
          <t>ORD-2026-00322</t>
        </is>
      </c>
      <c r="D4" s="7" t="inlineStr">
        <is>
          <t>CUS-000002</t>
        </is>
      </c>
      <c r="E4" s="7" t="inlineStr">
        <is>
          <t>PRD-000125</t>
        </is>
      </c>
      <c r="F4" s="7" t="inlineStr">
        <is>
          <t>پمپ PMP-250 ستاره</t>
        </is>
      </c>
      <c r="G4" s="7" t="inlineStr">
        <is>
          <t>USR-03</t>
        </is>
      </c>
      <c r="H4" s="13" t="n">
        <v>46287</v>
      </c>
      <c r="I4" s="13" t="n">
        <v>46402</v>
      </c>
      <c r="J4" s="7" t="inlineStr">
        <is>
          <t>Medium</t>
        </is>
      </c>
      <c r="K4" s="7" t="inlineStr">
        <is>
          <t>Draft</t>
        </is>
      </c>
      <c r="L4" s="9" t="n">
        <v>0.05</v>
      </c>
      <c r="M4" s="7" t="inlineStr">
        <is>
          <t>USR-08</t>
        </is>
      </c>
      <c r="N4" s="7" t="inlineStr">
        <is>
          <t>TBD</t>
        </is>
      </c>
      <c r="O4" s="7">
        <f>IF(ISBLANK($I4),0,IF(AND($I4&lt;TODAY(),$K4&lt;&gt;"Closed"),1,0))</f>
        <v/>
      </c>
      <c r="P4" s="13" t="n">
        <v>46286</v>
      </c>
      <c r="Q4" s="13" t="inlineStr">
        <is>
          <t>USR-03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3_1" sqref="B3:N20" password="A825"/>
  </protectedRanges>
  <conditionalFormatting sqref="O3:O4">
    <cfRule type="cellIs" priority="1" operator="equal" dxfId="0">
      <formula>1</formula>
    </cfRule>
    <cfRule type="cellIs" priority="2" operator="equal" dxfId="1">
      <formula>0</formula>
    </cfRule>
  </conditionalFormatting>
  <dataValidations count="3">
    <dataValidation sqref="B3:N44" showDropDown="0" showInputMessage="0" showErrorMessage="1" allowBlank="1" errorTitle="قفل گیت گردش کار" error="گیت ۱: ابتدا سفارش باید توسط فروش بررسی و تأیید شده باشد (Ready_Flag=READY). (وضعیت گیت‌ها: شیت Gate_Status)" promptTitle="قفل گیت گردش کار" prompt="گیت ۱: ابتدا سفارش باید توسط فروش بررسی و تأیید شده باشد (Ready_Flag=READY)." type="custom">
      <formula1>=OR($C3="",COUNTIFS(Orders!$A$3:$A$20,$C3,Orders!$R$3:$R$20,"READY")&gt;0)</formula1>
    </dataValidation>
    <dataValidation sqref="J3:J4" showDropDown="0" showInputMessage="0" showErrorMessage="1" allowBlank="1" errorTitle="Data Validation" error="مقدار خارج از فهرست مجاز است" promptTitle="Priority" prompt="انتخاب از فهرست مجاز برای Priority" type="list">
      <formula1>"Low,Medium,High,Critical"</formula1>
    </dataValidation>
    <dataValidation sqref="K3:K4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0F4C81"/>
    <outlinePr summaryBelow="1" summaryRight="1"/>
    <pageSetUpPr/>
  </sheetPr>
  <dimension ref="A1:P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5" customWidth="1" min="4" max="4"/>
    <col width="19" customWidth="1" min="5" max="5"/>
    <col width="18" customWidth="1" min="6" max="6"/>
    <col width="18" customWidth="1" min="7" max="7"/>
    <col width="13" customWidth="1" min="8" max="8"/>
    <col width="18" customWidth="1" min="9" max="9"/>
    <col width="13" customWidth="1" min="10" max="10"/>
    <col width="22" customWidth="1" min="11" max="11"/>
    <col width="27" customWidth="1" min="12" max="12"/>
    <col width="18" customWidth="1" min="13" max="13"/>
    <col width="12" customWidth="1" min="14" max="14"/>
    <col width="14" customWidth="1" min="15" max="15"/>
    <col width="13" customWidth="1" min="16" max="16"/>
  </cols>
  <sheetData>
    <row r="1">
      <c r="A1" s="1" t="inlineStr">
        <is>
          <t>Feasibility</t>
        </is>
      </c>
      <c r="B1" s="3" t="inlineStr">
        <is>
          <t>امکان‌سنجی توسط مدیر پروژه تکمیل می‌شود؛ بدون Completed_Flag=COMPLETE گیت مهندسی باز نمی‌شود. وزن‌ها و کف امتیاز از Settings خوانده می‌شود.</t>
        </is>
      </c>
    </row>
    <row r="2">
      <c r="A2" s="4" t="inlineStr">
        <is>
          <t>System_ID</t>
        </is>
      </c>
      <c r="B2" s="4" t="inlineStr">
        <is>
          <t>Project_ID</t>
        </is>
      </c>
      <c r="C2" s="4" t="inlineStr">
        <is>
          <t>Version</t>
        </is>
      </c>
      <c r="D2" s="4" t="inlineStr">
        <is>
          <t>Market_Score</t>
        </is>
      </c>
      <c r="E2" s="4" t="inlineStr">
        <is>
          <t>Technical_Score</t>
        </is>
      </c>
      <c r="F2" s="4" t="inlineStr">
        <is>
          <t>Economic_Score</t>
        </is>
      </c>
      <c r="G2" s="4" t="inlineStr">
        <is>
          <t>Schedule_Score</t>
        </is>
      </c>
      <c r="H2" s="4" t="inlineStr">
        <is>
          <t>Risk_Score</t>
        </is>
      </c>
      <c r="I2" s="4" t="inlineStr">
        <is>
          <t>Weighted_Score</t>
        </is>
      </c>
      <c r="J2" s="4" t="inlineStr">
        <is>
          <t>Risk_Level</t>
        </is>
      </c>
      <c r="K2" s="4" t="inlineStr">
        <is>
          <t>Feasibility_Result</t>
        </is>
      </c>
      <c r="L2" s="4" t="inlineStr">
        <is>
          <t>Go_NoGo_Recommendation</t>
        </is>
      </c>
      <c r="M2" s="4" t="inlineStr">
        <is>
          <t>Completed_Flag</t>
        </is>
      </c>
      <c r="N2" s="4" t="inlineStr">
        <is>
          <t>Status_ID</t>
        </is>
      </c>
      <c r="O2" s="4" t="inlineStr">
        <is>
          <t>Create_Date</t>
        </is>
      </c>
      <c r="P2" s="4" t="inlineStr">
        <is>
          <t>Created_By</t>
        </is>
      </c>
    </row>
    <row r="3">
      <c r="A3" s="2" t="inlineStr">
        <is>
          <t>FEA-000125</t>
        </is>
      </c>
      <c r="B3" s="2" t="inlineStr">
        <is>
          <t>PRJ-2026-00125</t>
        </is>
      </c>
      <c r="C3" s="2" t="inlineStr">
        <is>
          <t>R01</t>
        </is>
      </c>
      <c r="D3" s="12" t="n">
        <v>85</v>
      </c>
      <c r="E3" s="12" t="n">
        <v>90</v>
      </c>
      <c r="F3" s="12" t="n">
        <v>78</v>
      </c>
      <c r="G3" s="12" t="n">
        <v>80</v>
      </c>
      <c r="H3" s="12" t="n">
        <v>30</v>
      </c>
      <c r="I3" s="12">
        <f>IF(AND(ISNUMBER($D3),ISNUMBER($E3),ISNUMBER($F3),ISNUMBER($G3)),ROUND(Settings!$B$17*$D3+Settings!$B$18*$E3+Settings!$B$19*$F3+Settings!$B$20*$G3,2),"")</f>
        <v/>
      </c>
      <c r="J3" s="12">
        <f>IF(ISNUMBER($H3),IF($H3&gt;=67,"High",IF($H3&gt;=34,"Medium","Low")),"")</f>
        <v/>
      </c>
      <c r="K3" s="2">
        <f>IF($I3="","",IF(AND($I3&gt;=Settings!$B$21,$J3&lt;&gt;"High"),"Feasible",IF($I3&gt;=50,"Conditional","Not Feasible")))</f>
        <v/>
      </c>
      <c r="L3" s="2" t="inlineStr">
        <is>
          <t>اجرا شود؛ ریسک تأمین مکانیکال سیل با پیش‌خرید و تعهد کتبی تأمین‌کننده مدیریت شود</t>
        </is>
      </c>
      <c r="M3" s="2">
        <f>IF(AND(ISNUMBER($D3),ISNUMBER($E3),ISNUMBER($F3),ISNUMBER($G3),ISNUMBER($H3),$L3&lt;&gt;""),"COMPLETE","INCOMPLETE")</f>
        <v/>
      </c>
      <c r="N3" s="2" t="inlineStr">
        <is>
          <t>Approved</t>
        </is>
      </c>
      <c r="O3" s="10" t="n">
        <v>46287</v>
      </c>
      <c r="P3" s="10" t="inlineStr">
        <is>
          <t>USR-03</t>
        </is>
      </c>
    </row>
    <row r="4">
      <c r="A4" s="7" t="inlineStr">
        <is>
          <t>FEA-000126</t>
        </is>
      </c>
      <c r="B4" s="7" t="inlineStr">
        <is>
          <t>PRJ-2026-00126</t>
        </is>
      </c>
      <c r="C4" s="7" t="inlineStr">
        <is>
          <t>R01</t>
        </is>
      </c>
      <c r="D4" s="15" t="n">
        <v>70</v>
      </c>
      <c r="E4" s="15" t="n"/>
      <c r="F4" s="15" t="n"/>
      <c r="G4" s="15" t="n">
        <v>65</v>
      </c>
      <c r="H4" s="15" t="n"/>
      <c r="I4" s="15">
        <f>IF(AND(ISNUMBER($D4),ISNUMBER($E4),ISNUMBER($F4),ISNUMBER($G4)),ROUND(Settings!$B$17*$D4+Settings!$B$18*$E4+Settings!$B$19*$F4+Settings!$B$20*$G4,2),"")</f>
        <v/>
      </c>
      <c r="J4" s="15">
        <f>IF(ISNUMBER($H4),IF($H4&gt;=67,"High",IF($H4&gt;=34,"Medium","Low")),"")</f>
        <v/>
      </c>
      <c r="K4" s="7">
        <f>IF($I4="","",IF(AND($I4&gt;=Settings!$B$21,$J4&lt;&gt;"High"),"Feasible",IF($I4&gt;=50,"Conditional","Not Feasible")))</f>
        <v/>
      </c>
      <c r="L4" s="7" t="inlineStr"/>
      <c r="M4" s="7">
        <f>IF(AND(ISNUMBER($D4),ISNUMBER($E4),ISNUMBER($F4),ISNUMBER($G4),ISNUMBER($H4),$L4&lt;&gt;""),"COMPLETE","INCOMPLETE")</f>
        <v/>
      </c>
      <c r="N4" s="7" t="inlineStr">
        <is>
          <t>Draft</t>
        </is>
      </c>
      <c r="O4" s="13" t="n">
        <v>46287</v>
      </c>
      <c r="P4" s="13" t="inlineStr">
        <is>
          <t>USR-03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3_1" sqref="D3:L20" password="A825"/>
  </protectedRanges>
  <dataValidations count="3">
    <dataValidation sqref="D3:L44" showDropDown="0" showInputMessage="0" showErrorMessage="1" allowBlank="1" errorTitle="قفل گیت گردش کار" error="گیت ۱: ورود اطلاعات امکان‌سنجی فقط برای پروژه‌ای مجاز است که سفارش آن آماده باشد. (وضعیت گیت‌ها: شیت Gate_Status)" promptTitle="قفل گیت گردش کار" prompt="گیت ۱: ورود اطلاعات امکان‌سنجی فقط برای پروژه‌ای مجاز است که سفارش آن آماده باشد." type="custom">
      <formula1>=OR($B3="",IFERROR(INDEX(Gate_Status!$N$3:$N$20,MATCH($B3,Gate_Status!$B$3:$B$20,0)),0)=1)</formula1>
    </dataValidation>
    <dataValidation sqref="J3:J4" showDropDown="0" showInputMessage="0" showErrorMessage="1" allowBlank="1" errorTitle="Data Validation" error="مقدار خارج از فهرست مجاز است" promptTitle="Risk_Level" prompt="انتخاب از فهرست مجاز برای Risk_Level" type="list">
      <formula1>"Low,Medium,High"</formula1>
    </dataValidation>
    <dataValidation sqref="N3:N4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0F4C81"/>
    <outlinePr summaryBelow="1" summaryRight="1"/>
    <pageSetUpPr/>
  </sheetPr>
  <dimension ref="A1:AI13"/>
  <sheetViews>
    <sheetView rightToLeft="1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</cols>
  <sheetData>
    <row r="1">
      <c r="A1" s="1" t="inlineStr">
        <is>
          <t>Gantt — نمودار گانت برنامه/عملکرد (منبع: Schedule؛ به‌روزرسانی توسط مدیر پروژه)</t>
        </is>
      </c>
      <c r="B1" s="3" t="inlineStr">
        <is>
          <t>هر ستون یک هفته؛ میله = بازه شروع تا پایان فعالیت. رنگ‌ها: سبز=انجام‌شده، آبی=در جریان، قرمز=معوق، خاکستری=برنامه‌ریزی‌شده.</t>
        </is>
      </c>
    </row>
    <row r="2">
      <c r="A2" t="inlineStr">
        <is>
          <t>System_ID</t>
        </is>
      </c>
      <c r="B2" t="inlineStr">
        <is>
          <t>Project_ID</t>
        </is>
      </c>
      <c r="C2" t="inlineStr">
        <is>
          <t>Activity</t>
        </is>
      </c>
      <c r="D2" t="inlineStr">
        <is>
          <t>Responsible</t>
        </is>
      </c>
      <c r="E2" t="inlineStr">
        <is>
          <t>Status_ID</t>
        </is>
      </c>
      <c r="F2" t="inlineStr">
        <is>
          <t>Start_Date</t>
        </is>
      </c>
      <c r="G2" t="inlineStr">
        <is>
          <t>End_Date</t>
        </is>
      </c>
      <c r="H2" t="inlineStr">
        <is>
          <t>Duration</t>
        </is>
      </c>
      <c r="I2" t="inlineStr">
        <is>
          <t>Display_Status</t>
        </is>
      </c>
      <c r="J2" s="16" t="n">
        <v>46286</v>
      </c>
      <c r="K2" s="16" t="n">
        <v>46293</v>
      </c>
      <c r="L2" s="16" t="n">
        <v>46300</v>
      </c>
      <c r="M2" s="16" t="n">
        <v>46307</v>
      </c>
      <c r="N2" s="16" t="n">
        <v>46314</v>
      </c>
      <c r="O2" s="16" t="n">
        <v>46321</v>
      </c>
      <c r="P2" s="16" t="n">
        <v>46328</v>
      </c>
      <c r="Q2" s="16" t="n">
        <v>46335</v>
      </c>
      <c r="R2" s="16" t="n">
        <v>46342</v>
      </c>
      <c r="S2" s="16" t="n">
        <v>46349</v>
      </c>
      <c r="T2" s="16" t="n">
        <v>46356</v>
      </c>
      <c r="U2" s="16" t="n">
        <v>46363</v>
      </c>
      <c r="V2" s="16" t="n">
        <v>46370</v>
      </c>
      <c r="W2" s="16" t="n">
        <v>46377</v>
      </c>
      <c r="X2" s="16" t="n">
        <v>46384</v>
      </c>
      <c r="Y2" s="16" t="n">
        <v>46391</v>
      </c>
      <c r="Z2" s="16" t="n">
        <v>46398</v>
      </c>
      <c r="AA2" s="16" t="n">
        <v>46405</v>
      </c>
      <c r="AB2" s="16" t="n">
        <v>46412</v>
      </c>
      <c r="AC2" s="16" t="n">
        <v>46419</v>
      </c>
      <c r="AD2" s="16" t="n">
        <v>46426</v>
      </c>
      <c r="AE2" s="16" t="n">
        <v>46433</v>
      </c>
      <c r="AF2" s="16" t="n">
        <v>46440</v>
      </c>
      <c r="AG2" s="16" t="n">
        <v>46447</v>
      </c>
      <c r="AH2" s="16" t="n">
        <v>46454</v>
      </c>
      <c r="AI2" s="16" t="n">
        <v>46461</v>
      </c>
    </row>
    <row r="3">
      <c r="A3" s="2">
        <f>Schedule!$A$3</f>
        <v/>
      </c>
      <c r="B3" s="2">
        <f>Schedule!$B$3</f>
        <v/>
      </c>
      <c r="C3" s="2">
        <f>Schedule!$C$3</f>
        <v/>
      </c>
      <c r="D3" s="2">
        <f>Schedule!$G$3</f>
        <v/>
      </c>
      <c r="E3" s="2">
        <f>Schedule!$I$3</f>
        <v/>
      </c>
      <c r="F3" s="2">
        <f>Schedule!$D$3</f>
        <v/>
      </c>
      <c r="G3" s="2">
        <f>Schedule!$E$3</f>
        <v/>
      </c>
      <c r="H3" s="2">
        <f>IF(OR($F3="",$G3=""),0,$G3-$F3+1)</f>
        <v/>
      </c>
      <c r="I3" s="2">
        <f>IF($F3="","",IF($E3="Done","Done",IF($G3&lt;TODAY(),"Late",IF($E3="Not Started","Planned","In Progress"))))</f>
        <v/>
      </c>
      <c r="J3" s="17">
        <f>IF(AND($F3&lt;&gt;"",J$2&gt;=$F3,J$2&lt;=$G3),1,0)</f>
        <v/>
      </c>
      <c r="K3" s="17">
        <f>IF(AND($F3&lt;&gt;"",K$2&gt;=$F3,K$2&lt;=$G3),1,0)</f>
        <v/>
      </c>
      <c r="L3" s="17">
        <f>IF(AND($F3&lt;&gt;"",L$2&gt;=$F3,L$2&lt;=$G3),1,0)</f>
        <v/>
      </c>
      <c r="M3" s="17">
        <f>IF(AND($F3&lt;&gt;"",M$2&gt;=$F3,M$2&lt;=$G3),1,0)</f>
        <v/>
      </c>
      <c r="N3" s="17">
        <f>IF(AND($F3&lt;&gt;"",N$2&gt;=$F3,N$2&lt;=$G3),1,0)</f>
        <v/>
      </c>
      <c r="O3" s="17">
        <f>IF(AND($F3&lt;&gt;"",O$2&gt;=$F3,O$2&lt;=$G3),1,0)</f>
        <v/>
      </c>
      <c r="P3" s="17">
        <f>IF(AND($F3&lt;&gt;"",P$2&gt;=$F3,P$2&lt;=$G3),1,0)</f>
        <v/>
      </c>
      <c r="Q3" s="17">
        <f>IF(AND($F3&lt;&gt;"",Q$2&gt;=$F3,Q$2&lt;=$G3),1,0)</f>
        <v/>
      </c>
      <c r="R3" s="17">
        <f>IF(AND($F3&lt;&gt;"",R$2&gt;=$F3,R$2&lt;=$G3),1,0)</f>
        <v/>
      </c>
      <c r="S3" s="17">
        <f>IF(AND($F3&lt;&gt;"",S$2&gt;=$F3,S$2&lt;=$G3),1,0)</f>
        <v/>
      </c>
      <c r="T3" s="17">
        <f>IF(AND($F3&lt;&gt;"",T$2&gt;=$F3,T$2&lt;=$G3),1,0)</f>
        <v/>
      </c>
      <c r="U3" s="17">
        <f>IF(AND($F3&lt;&gt;"",U$2&gt;=$F3,U$2&lt;=$G3),1,0)</f>
        <v/>
      </c>
      <c r="V3" s="17">
        <f>IF(AND($F3&lt;&gt;"",V$2&gt;=$F3,V$2&lt;=$G3),1,0)</f>
        <v/>
      </c>
      <c r="W3" s="17">
        <f>IF(AND($F3&lt;&gt;"",W$2&gt;=$F3,W$2&lt;=$G3),1,0)</f>
        <v/>
      </c>
      <c r="X3" s="17">
        <f>IF(AND($F3&lt;&gt;"",X$2&gt;=$F3,X$2&lt;=$G3),1,0)</f>
        <v/>
      </c>
      <c r="Y3" s="17">
        <f>IF(AND($F3&lt;&gt;"",Y$2&gt;=$F3,Y$2&lt;=$G3),1,0)</f>
        <v/>
      </c>
      <c r="Z3" s="17">
        <f>IF(AND($F3&lt;&gt;"",Z$2&gt;=$F3,Z$2&lt;=$G3),1,0)</f>
        <v/>
      </c>
      <c r="AA3" s="17">
        <f>IF(AND($F3&lt;&gt;"",AA$2&gt;=$F3,AA$2&lt;=$G3),1,0)</f>
        <v/>
      </c>
      <c r="AB3" s="17">
        <f>IF(AND($F3&lt;&gt;"",AB$2&gt;=$F3,AB$2&lt;=$G3),1,0)</f>
        <v/>
      </c>
      <c r="AC3" s="17">
        <f>IF(AND($F3&lt;&gt;"",AC$2&gt;=$F3,AC$2&lt;=$G3),1,0)</f>
        <v/>
      </c>
      <c r="AD3" s="17">
        <f>IF(AND($F3&lt;&gt;"",AD$2&gt;=$F3,AD$2&lt;=$G3),1,0)</f>
        <v/>
      </c>
      <c r="AE3" s="17">
        <f>IF(AND($F3&lt;&gt;"",AE$2&gt;=$F3,AE$2&lt;=$G3),1,0)</f>
        <v/>
      </c>
      <c r="AF3" s="17">
        <f>IF(AND($F3&lt;&gt;"",AF$2&gt;=$F3,AF$2&lt;=$G3),1,0)</f>
        <v/>
      </c>
      <c r="AG3" s="17">
        <f>IF(AND($F3&lt;&gt;"",AG$2&gt;=$F3,AG$2&lt;=$G3),1,0)</f>
        <v/>
      </c>
      <c r="AH3" s="17">
        <f>IF(AND($F3&lt;&gt;"",AH$2&gt;=$F3,AH$2&lt;=$G3),1,0)</f>
        <v/>
      </c>
      <c r="AI3" s="17">
        <f>IF(AND($F3&lt;&gt;"",AI$2&gt;=$F3,AI$2&lt;=$G3),1,0)</f>
        <v/>
      </c>
    </row>
    <row r="4">
      <c r="A4" s="2">
        <f>Schedule!$A$4</f>
        <v/>
      </c>
      <c r="B4" s="2">
        <f>Schedule!$B$4</f>
        <v/>
      </c>
      <c r="C4" s="2">
        <f>Schedule!$C$4</f>
        <v/>
      </c>
      <c r="D4" s="2">
        <f>Schedule!$G$4</f>
        <v/>
      </c>
      <c r="E4" s="2">
        <f>Schedule!$I$4</f>
        <v/>
      </c>
      <c r="F4" s="2">
        <f>Schedule!$D$4</f>
        <v/>
      </c>
      <c r="G4" s="2">
        <f>Schedule!$E$4</f>
        <v/>
      </c>
      <c r="H4" s="2">
        <f>IF(OR($F4="",$G4=""),0,$G4-$F4+1)</f>
        <v/>
      </c>
      <c r="I4" s="2">
        <f>IF($F4="","",IF($E4="Done","Done",IF($G4&lt;TODAY(),"Late",IF($E4="Not Started","Planned","In Progress"))))</f>
        <v/>
      </c>
      <c r="J4" s="17">
        <f>IF(AND($F4&lt;&gt;"",J$2&gt;=$F4,J$2&lt;=$G4),1,0)</f>
        <v/>
      </c>
      <c r="K4" s="17">
        <f>IF(AND($F4&lt;&gt;"",K$2&gt;=$F4,K$2&lt;=$G4),1,0)</f>
        <v/>
      </c>
      <c r="L4" s="17">
        <f>IF(AND($F4&lt;&gt;"",L$2&gt;=$F4,L$2&lt;=$G4),1,0)</f>
        <v/>
      </c>
      <c r="M4" s="17">
        <f>IF(AND($F4&lt;&gt;"",M$2&gt;=$F4,M$2&lt;=$G4),1,0)</f>
        <v/>
      </c>
      <c r="N4" s="17">
        <f>IF(AND($F4&lt;&gt;"",N$2&gt;=$F4,N$2&lt;=$G4),1,0)</f>
        <v/>
      </c>
      <c r="O4" s="17">
        <f>IF(AND($F4&lt;&gt;"",O$2&gt;=$F4,O$2&lt;=$G4),1,0)</f>
        <v/>
      </c>
      <c r="P4" s="17">
        <f>IF(AND($F4&lt;&gt;"",P$2&gt;=$F4,P$2&lt;=$G4),1,0)</f>
        <v/>
      </c>
      <c r="Q4" s="17">
        <f>IF(AND($F4&lt;&gt;"",Q$2&gt;=$F4,Q$2&lt;=$G4),1,0)</f>
        <v/>
      </c>
      <c r="R4" s="17">
        <f>IF(AND($F4&lt;&gt;"",R$2&gt;=$F4,R$2&lt;=$G4),1,0)</f>
        <v/>
      </c>
      <c r="S4" s="17">
        <f>IF(AND($F4&lt;&gt;"",S$2&gt;=$F4,S$2&lt;=$G4),1,0)</f>
        <v/>
      </c>
      <c r="T4" s="17">
        <f>IF(AND($F4&lt;&gt;"",T$2&gt;=$F4,T$2&lt;=$G4),1,0)</f>
        <v/>
      </c>
      <c r="U4" s="17">
        <f>IF(AND($F4&lt;&gt;"",U$2&gt;=$F4,U$2&lt;=$G4),1,0)</f>
        <v/>
      </c>
      <c r="V4" s="17">
        <f>IF(AND($F4&lt;&gt;"",V$2&gt;=$F4,V$2&lt;=$G4),1,0)</f>
        <v/>
      </c>
      <c r="W4" s="17">
        <f>IF(AND($F4&lt;&gt;"",W$2&gt;=$F4,W$2&lt;=$G4),1,0)</f>
        <v/>
      </c>
      <c r="X4" s="17">
        <f>IF(AND($F4&lt;&gt;"",X$2&gt;=$F4,X$2&lt;=$G4),1,0)</f>
        <v/>
      </c>
      <c r="Y4" s="17">
        <f>IF(AND($F4&lt;&gt;"",Y$2&gt;=$F4,Y$2&lt;=$G4),1,0)</f>
        <v/>
      </c>
      <c r="Z4" s="17">
        <f>IF(AND($F4&lt;&gt;"",Z$2&gt;=$F4,Z$2&lt;=$G4),1,0)</f>
        <v/>
      </c>
      <c r="AA4" s="17">
        <f>IF(AND($F4&lt;&gt;"",AA$2&gt;=$F4,AA$2&lt;=$G4),1,0)</f>
        <v/>
      </c>
      <c r="AB4" s="17">
        <f>IF(AND($F4&lt;&gt;"",AB$2&gt;=$F4,AB$2&lt;=$G4),1,0)</f>
        <v/>
      </c>
      <c r="AC4" s="17">
        <f>IF(AND($F4&lt;&gt;"",AC$2&gt;=$F4,AC$2&lt;=$G4),1,0)</f>
        <v/>
      </c>
      <c r="AD4" s="17">
        <f>IF(AND($F4&lt;&gt;"",AD$2&gt;=$F4,AD$2&lt;=$G4),1,0)</f>
        <v/>
      </c>
      <c r="AE4" s="17">
        <f>IF(AND($F4&lt;&gt;"",AE$2&gt;=$F4,AE$2&lt;=$G4),1,0)</f>
        <v/>
      </c>
      <c r="AF4" s="17">
        <f>IF(AND($F4&lt;&gt;"",AF$2&gt;=$F4,AF$2&lt;=$G4),1,0)</f>
        <v/>
      </c>
      <c r="AG4" s="17">
        <f>IF(AND($F4&lt;&gt;"",AG$2&gt;=$F4,AG$2&lt;=$G4),1,0)</f>
        <v/>
      </c>
      <c r="AH4" s="17">
        <f>IF(AND($F4&lt;&gt;"",AH$2&gt;=$F4,AH$2&lt;=$G4),1,0)</f>
        <v/>
      </c>
      <c r="AI4" s="17">
        <f>IF(AND($F4&lt;&gt;"",AI$2&gt;=$F4,AI$2&lt;=$G4),1,0)</f>
        <v/>
      </c>
    </row>
    <row r="5">
      <c r="A5" s="2">
        <f>Schedule!$A$5</f>
        <v/>
      </c>
      <c r="B5" s="2">
        <f>Schedule!$B$5</f>
        <v/>
      </c>
      <c r="C5" s="2">
        <f>Schedule!$C$5</f>
        <v/>
      </c>
      <c r="D5" s="2">
        <f>Schedule!$G$5</f>
        <v/>
      </c>
      <c r="E5" s="2">
        <f>Schedule!$I$5</f>
        <v/>
      </c>
      <c r="F5" s="2">
        <f>Schedule!$D$5</f>
        <v/>
      </c>
      <c r="G5" s="2">
        <f>Schedule!$E$5</f>
        <v/>
      </c>
      <c r="H5" s="2">
        <f>IF(OR($F5="",$G5=""),0,$G5-$F5+1)</f>
        <v/>
      </c>
      <c r="I5" s="2">
        <f>IF($F5="","",IF($E5="Done","Done",IF($G5&lt;TODAY(),"Late",IF($E5="Not Started","Planned","In Progress"))))</f>
        <v/>
      </c>
      <c r="J5" s="17">
        <f>IF(AND($F5&lt;&gt;"",J$2&gt;=$F5,J$2&lt;=$G5),1,0)</f>
        <v/>
      </c>
      <c r="K5" s="17">
        <f>IF(AND($F5&lt;&gt;"",K$2&gt;=$F5,K$2&lt;=$G5),1,0)</f>
        <v/>
      </c>
      <c r="L5" s="17">
        <f>IF(AND($F5&lt;&gt;"",L$2&gt;=$F5,L$2&lt;=$G5),1,0)</f>
        <v/>
      </c>
      <c r="M5" s="17">
        <f>IF(AND($F5&lt;&gt;"",M$2&gt;=$F5,M$2&lt;=$G5),1,0)</f>
        <v/>
      </c>
      <c r="N5" s="17">
        <f>IF(AND($F5&lt;&gt;"",N$2&gt;=$F5,N$2&lt;=$G5),1,0)</f>
        <v/>
      </c>
      <c r="O5" s="17">
        <f>IF(AND($F5&lt;&gt;"",O$2&gt;=$F5,O$2&lt;=$G5),1,0)</f>
        <v/>
      </c>
      <c r="P5" s="17">
        <f>IF(AND($F5&lt;&gt;"",P$2&gt;=$F5,P$2&lt;=$G5),1,0)</f>
        <v/>
      </c>
      <c r="Q5" s="17">
        <f>IF(AND($F5&lt;&gt;"",Q$2&gt;=$F5,Q$2&lt;=$G5),1,0)</f>
        <v/>
      </c>
      <c r="R5" s="17">
        <f>IF(AND($F5&lt;&gt;"",R$2&gt;=$F5,R$2&lt;=$G5),1,0)</f>
        <v/>
      </c>
      <c r="S5" s="17">
        <f>IF(AND($F5&lt;&gt;"",S$2&gt;=$F5,S$2&lt;=$G5),1,0)</f>
        <v/>
      </c>
      <c r="T5" s="17">
        <f>IF(AND($F5&lt;&gt;"",T$2&gt;=$F5,T$2&lt;=$G5),1,0)</f>
        <v/>
      </c>
      <c r="U5" s="17">
        <f>IF(AND($F5&lt;&gt;"",U$2&gt;=$F5,U$2&lt;=$G5),1,0)</f>
        <v/>
      </c>
      <c r="V5" s="17">
        <f>IF(AND($F5&lt;&gt;"",V$2&gt;=$F5,V$2&lt;=$G5),1,0)</f>
        <v/>
      </c>
      <c r="W5" s="17">
        <f>IF(AND($F5&lt;&gt;"",W$2&gt;=$F5,W$2&lt;=$G5),1,0)</f>
        <v/>
      </c>
      <c r="X5" s="17">
        <f>IF(AND($F5&lt;&gt;"",X$2&gt;=$F5,X$2&lt;=$G5),1,0)</f>
        <v/>
      </c>
      <c r="Y5" s="17">
        <f>IF(AND($F5&lt;&gt;"",Y$2&gt;=$F5,Y$2&lt;=$G5),1,0)</f>
        <v/>
      </c>
      <c r="Z5" s="17">
        <f>IF(AND($F5&lt;&gt;"",Z$2&gt;=$F5,Z$2&lt;=$G5),1,0)</f>
        <v/>
      </c>
      <c r="AA5" s="17">
        <f>IF(AND($F5&lt;&gt;"",AA$2&gt;=$F5,AA$2&lt;=$G5),1,0)</f>
        <v/>
      </c>
      <c r="AB5" s="17">
        <f>IF(AND($F5&lt;&gt;"",AB$2&gt;=$F5,AB$2&lt;=$G5),1,0)</f>
        <v/>
      </c>
      <c r="AC5" s="17">
        <f>IF(AND($F5&lt;&gt;"",AC$2&gt;=$F5,AC$2&lt;=$G5),1,0)</f>
        <v/>
      </c>
      <c r="AD5" s="17">
        <f>IF(AND($F5&lt;&gt;"",AD$2&gt;=$F5,AD$2&lt;=$G5),1,0)</f>
        <v/>
      </c>
      <c r="AE5" s="17">
        <f>IF(AND($F5&lt;&gt;"",AE$2&gt;=$F5,AE$2&lt;=$G5),1,0)</f>
        <v/>
      </c>
      <c r="AF5" s="17">
        <f>IF(AND($F5&lt;&gt;"",AF$2&gt;=$F5,AF$2&lt;=$G5),1,0)</f>
        <v/>
      </c>
      <c r="AG5" s="17">
        <f>IF(AND($F5&lt;&gt;"",AG$2&gt;=$F5,AG$2&lt;=$G5),1,0)</f>
        <v/>
      </c>
      <c r="AH5" s="17">
        <f>IF(AND($F5&lt;&gt;"",AH$2&gt;=$F5,AH$2&lt;=$G5),1,0)</f>
        <v/>
      </c>
      <c r="AI5" s="17">
        <f>IF(AND($F5&lt;&gt;"",AI$2&gt;=$F5,AI$2&lt;=$G5),1,0)</f>
        <v/>
      </c>
    </row>
    <row r="6">
      <c r="A6" s="2">
        <f>Schedule!$A$6</f>
        <v/>
      </c>
      <c r="B6" s="2">
        <f>Schedule!$B$6</f>
        <v/>
      </c>
      <c r="C6" s="2">
        <f>Schedule!$C$6</f>
        <v/>
      </c>
      <c r="D6" s="2">
        <f>Schedule!$G$6</f>
        <v/>
      </c>
      <c r="E6" s="2">
        <f>Schedule!$I$6</f>
        <v/>
      </c>
      <c r="F6" s="2">
        <f>Schedule!$D$6</f>
        <v/>
      </c>
      <c r="G6" s="2">
        <f>Schedule!$E$6</f>
        <v/>
      </c>
      <c r="H6" s="2">
        <f>IF(OR($F6="",$G6=""),0,$G6-$F6+1)</f>
        <v/>
      </c>
      <c r="I6" s="2">
        <f>IF($F6="","",IF($E6="Done","Done",IF($G6&lt;TODAY(),"Late",IF($E6="Not Started","Planned","In Progress"))))</f>
        <v/>
      </c>
      <c r="J6" s="17">
        <f>IF(AND($F6&lt;&gt;"",J$2&gt;=$F6,J$2&lt;=$G6),1,0)</f>
        <v/>
      </c>
      <c r="K6" s="17">
        <f>IF(AND($F6&lt;&gt;"",K$2&gt;=$F6,K$2&lt;=$G6),1,0)</f>
        <v/>
      </c>
      <c r="L6" s="17">
        <f>IF(AND($F6&lt;&gt;"",L$2&gt;=$F6,L$2&lt;=$G6),1,0)</f>
        <v/>
      </c>
      <c r="M6" s="17">
        <f>IF(AND($F6&lt;&gt;"",M$2&gt;=$F6,M$2&lt;=$G6),1,0)</f>
        <v/>
      </c>
      <c r="N6" s="17">
        <f>IF(AND($F6&lt;&gt;"",N$2&gt;=$F6,N$2&lt;=$G6),1,0)</f>
        <v/>
      </c>
      <c r="O6" s="17">
        <f>IF(AND($F6&lt;&gt;"",O$2&gt;=$F6,O$2&lt;=$G6),1,0)</f>
        <v/>
      </c>
      <c r="P6" s="17">
        <f>IF(AND($F6&lt;&gt;"",P$2&gt;=$F6,P$2&lt;=$G6),1,0)</f>
        <v/>
      </c>
      <c r="Q6" s="17">
        <f>IF(AND($F6&lt;&gt;"",Q$2&gt;=$F6,Q$2&lt;=$G6),1,0)</f>
        <v/>
      </c>
      <c r="R6" s="17">
        <f>IF(AND($F6&lt;&gt;"",R$2&gt;=$F6,R$2&lt;=$G6),1,0)</f>
        <v/>
      </c>
      <c r="S6" s="17">
        <f>IF(AND($F6&lt;&gt;"",S$2&gt;=$F6,S$2&lt;=$G6),1,0)</f>
        <v/>
      </c>
      <c r="T6" s="17">
        <f>IF(AND($F6&lt;&gt;"",T$2&gt;=$F6,T$2&lt;=$G6),1,0)</f>
        <v/>
      </c>
      <c r="U6" s="17">
        <f>IF(AND($F6&lt;&gt;"",U$2&gt;=$F6,U$2&lt;=$G6),1,0)</f>
        <v/>
      </c>
      <c r="V6" s="17">
        <f>IF(AND($F6&lt;&gt;"",V$2&gt;=$F6,V$2&lt;=$G6),1,0)</f>
        <v/>
      </c>
      <c r="W6" s="17">
        <f>IF(AND($F6&lt;&gt;"",W$2&gt;=$F6,W$2&lt;=$G6),1,0)</f>
        <v/>
      </c>
      <c r="X6" s="17">
        <f>IF(AND($F6&lt;&gt;"",X$2&gt;=$F6,X$2&lt;=$G6),1,0)</f>
        <v/>
      </c>
      <c r="Y6" s="17">
        <f>IF(AND($F6&lt;&gt;"",Y$2&gt;=$F6,Y$2&lt;=$G6),1,0)</f>
        <v/>
      </c>
      <c r="Z6" s="17">
        <f>IF(AND($F6&lt;&gt;"",Z$2&gt;=$F6,Z$2&lt;=$G6),1,0)</f>
        <v/>
      </c>
      <c r="AA6" s="17">
        <f>IF(AND($F6&lt;&gt;"",AA$2&gt;=$F6,AA$2&lt;=$G6),1,0)</f>
        <v/>
      </c>
      <c r="AB6" s="17">
        <f>IF(AND($F6&lt;&gt;"",AB$2&gt;=$F6,AB$2&lt;=$G6),1,0)</f>
        <v/>
      </c>
      <c r="AC6" s="17">
        <f>IF(AND($F6&lt;&gt;"",AC$2&gt;=$F6,AC$2&lt;=$G6),1,0)</f>
        <v/>
      </c>
      <c r="AD6" s="17">
        <f>IF(AND($F6&lt;&gt;"",AD$2&gt;=$F6,AD$2&lt;=$G6),1,0)</f>
        <v/>
      </c>
      <c r="AE6" s="17">
        <f>IF(AND($F6&lt;&gt;"",AE$2&gt;=$F6,AE$2&lt;=$G6),1,0)</f>
        <v/>
      </c>
      <c r="AF6" s="17">
        <f>IF(AND($F6&lt;&gt;"",AF$2&gt;=$F6,AF$2&lt;=$G6),1,0)</f>
        <v/>
      </c>
      <c r="AG6" s="17">
        <f>IF(AND($F6&lt;&gt;"",AG$2&gt;=$F6,AG$2&lt;=$G6),1,0)</f>
        <v/>
      </c>
      <c r="AH6" s="17">
        <f>IF(AND($F6&lt;&gt;"",AH$2&gt;=$F6,AH$2&lt;=$G6),1,0)</f>
        <v/>
      </c>
      <c r="AI6" s="17">
        <f>IF(AND($F6&lt;&gt;"",AI$2&gt;=$F6,AI$2&lt;=$G6),1,0)</f>
        <v/>
      </c>
    </row>
    <row r="7">
      <c r="A7" s="2">
        <f>Schedule!$A$7</f>
        <v/>
      </c>
      <c r="B7" s="2">
        <f>Schedule!$B$7</f>
        <v/>
      </c>
      <c r="C7" s="2">
        <f>Schedule!$C$7</f>
        <v/>
      </c>
      <c r="D7" s="2">
        <f>Schedule!$G$7</f>
        <v/>
      </c>
      <c r="E7" s="2">
        <f>Schedule!$I$7</f>
        <v/>
      </c>
      <c r="F7" s="2">
        <f>Schedule!$D$7</f>
        <v/>
      </c>
      <c r="G7" s="2">
        <f>Schedule!$E$7</f>
        <v/>
      </c>
      <c r="H7" s="2">
        <f>IF(OR($F7="",$G7=""),0,$G7-$F7+1)</f>
        <v/>
      </c>
      <c r="I7" s="2">
        <f>IF($F7="","",IF($E7="Done","Done",IF($G7&lt;TODAY(),"Late",IF($E7="Not Started","Planned","In Progress"))))</f>
        <v/>
      </c>
      <c r="J7" s="17">
        <f>IF(AND($F7&lt;&gt;"",J$2&gt;=$F7,J$2&lt;=$G7),1,0)</f>
        <v/>
      </c>
      <c r="K7" s="17">
        <f>IF(AND($F7&lt;&gt;"",K$2&gt;=$F7,K$2&lt;=$G7),1,0)</f>
        <v/>
      </c>
      <c r="L7" s="17">
        <f>IF(AND($F7&lt;&gt;"",L$2&gt;=$F7,L$2&lt;=$G7),1,0)</f>
        <v/>
      </c>
      <c r="M7" s="17">
        <f>IF(AND($F7&lt;&gt;"",M$2&gt;=$F7,M$2&lt;=$G7),1,0)</f>
        <v/>
      </c>
      <c r="N7" s="17">
        <f>IF(AND($F7&lt;&gt;"",N$2&gt;=$F7,N$2&lt;=$G7),1,0)</f>
        <v/>
      </c>
      <c r="O7" s="17">
        <f>IF(AND($F7&lt;&gt;"",O$2&gt;=$F7,O$2&lt;=$G7),1,0)</f>
        <v/>
      </c>
      <c r="P7" s="17">
        <f>IF(AND($F7&lt;&gt;"",P$2&gt;=$F7,P$2&lt;=$G7),1,0)</f>
        <v/>
      </c>
      <c r="Q7" s="17">
        <f>IF(AND($F7&lt;&gt;"",Q$2&gt;=$F7,Q$2&lt;=$G7),1,0)</f>
        <v/>
      </c>
      <c r="R7" s="17">
        <f>IF(AND($F7&lt;&gt;"",R$2&gt;=$F7,R$2&lt;=$G7),1,0)</f>
        <v/>
      </c>
      <c r="S7" s="17">
        <f>IF(AND($F7&lt;&gt;"",S$2&gt;=$F7,S$2&lt;=$G7),1,0)</f>
        <v/>
      </c>
      <c r="T7" s="17">
        <f>IF(AND($F7&lt;&gt;"",T$2&gt;=$F7,T$2&lt;=$G7),1,0)</f>
        <v/>
      </c>
      <c r="U7" s="17">
        <f>IF(AND($F7&lt;&gt;"",U$2&gt;=$F7,U$2&lt;=$G7),1,0)</f>
        <v/>
      </c>
      <c r="V7" s="17">
        <f>IF(AND($F7&lt;&gt;"",V$2&gt;=$F7,V$2&lt;=$G7),1,0)</f>
        <v/>
      </c>
      <c r="W7" s="17">
        <f>IF(AND($F7&lt;&gt;"",W$2&gt;=$F7,W$2&lt;=$G7),1,0)</f>
        <v/>
      </c>
      <c r="X7" s="17">
        <f>IF(AND($F7&lt;&gt;"",X$2&gt;=$F7,X$2&lt;=$G7),1,0)</f>
        <v/>
      </c>
      <c r="Y7" s="17">
        <f>IF(AND($F7&lt;&gt;"",Y$2&gt;=$F7,Y$2&lt;=$G7),1,0)</f>
        <v/>
      </c>
      <c r="Z7" s="17">
        <f>IF(AND($F7&lt;&gt;"",Z$2&gt;=$F7,Z$2&lt;=$G7),1,0)</f>
        <v/>
      </c>
      <c r="AA7" s="17">
        <f>IF(AND($F7&lt;&gt;"",AA$2&gt;=$F7,AA$2&lt;=$G7),1,0)</f>
        <v/>
      </c>
      <c r="AB7" s="17">
        <f>IF(AND($F7&lt;&gt;"",AB$2&gt;=$F7,AB$2&lt;=$G7),1,0)</f>
        <v/>
      </c>
      <c r="AC7" s="17">
        <f>IF(AND($F7&lt;&gt;"",AC$2&gt;=$F7,AC$2&lt;=$G7),1,0)</f>
        <v/>
      </c>
      <c r="AD7" s="17">
        <f>IF(AND($F7&lt;&gt;"",AD$2&gt;=$F7,AD$2&lt;=$G7),1,0)</f>
        <v/>
      </c>
      <c r="AE7" s="17">
        <f>IF(AND($F7&lt;&gt;"",AE$2&gt;=$F7,AE$2&lt;=$G7),1,0)</f>
        <v/>
      </c>
      <c r="AF7" s="17">
        <f>IF(AND($F7&lt;&gt;"",AF$2&gt;=$F7,AF$2&lt;=$G7),1,0)</f>
        <v/>
      </c>
      <c r="AG7" s="17">
        <f>IF(AND($F7&lt;&gt;"",AG$2&gt;=$F7,AG$2&lt;=$G7),1,0)</f>
        <v/>
      </c>
      <c r="AH7" s="17">
        <f>IF(AND($F7&lt;&gt;"",AH$2&gt;=$F7,AH$2&lt;=$G7),1,0)</f>
        <v/>
      </c>
      <c r="AI7" s="17">
        <f>IF(AND($F7&lt;&gt;"",AI$2&gt;=$F7,AI$2&lt;=$G7),1,0)</f>
        <v/>
      </c>
    </row>
    <row r="8">
      <c r="A8" s="2">
        <f>Schedule!$A$8</f>
        <v/>
      </c>
      <c r="B8" s="2">
        <f>Schedule!$B$8</f>
        <v/>
      </c>
      <c r="C8" s="2">
        <f>Schedule!$C$8</f>
        <v/>
      </c>
      <c r="D8" s="2">
        <f>Schedule!$G$8</f>
        <v/>
      </c>
      <c r="E8" s="2">
        <f>Schedule!$I$8</f>
        <v/>
      </c>
      <c r="F8" s="2">
        <f>Schedule!$D$8</f>
        <v/>
      </c>
      <c r="G8" s="2">
        <f>Schedule!$E$8</f>
        <v/>
      </c>
      <c r="H8" s="2">
        <f>IF(OR($F8="",$G8=""),0,$G8-$F8+1)</f>
        <v/>
      </c>
      <c r="I8" s="2">
        <f>IF($F8="","",IF($E8="Done","Done",IF($G8&lt;TODAY(),"Late",IF($E8="Not Started","Planned","In Progress"))))</f>
        <v/>
      </c>
      <c r="J8" s="17">
        <f>IF(AND($F8&lt;&gt;"",J$2&gt;=$F8,J$2&lt;=$G8),1,0)</f>
        <v/>
      </c>
      <c r="K8" s="17">
        <f>IF(AND($F8&lt;&gt;"",K$2&gt;=$F8,K$2&lt;=$G8),1,0)</f>
        <v/>
      </c>
      <c r="L8" s="17">
        <f>IF(AND($F8&lt;&gt;"",L$2&gt;=$F8,L$2&lt;=$G8),1,0)</f>
        <v/>
      </c>
      <c r="M8" s="17">
        <f>IF(AND($F8&lt;&gt;"",M$2&gt;=$F8,M$2&lt;=$G8),1,0)</f>
        <v/>
      </c>
      <c r="N8" s="17">
        <f>IF(AND($F8&lt;&gt;"",N$2&gt;=$F8,N$2&lt;=$G8),1,0)</f>
        <v/>
      </c>
      <c r="O8" s="17">
        <f>IF(AND($F8&lt;&gt;"",O$2&gt;=$F8,O$2&lt;=$G8),1,0)</f>
        <v/>
      </c>
      <c r="P8" s="17">
        <f>IF(AND($F8&lt;&gt;"",P$2&gt;=$F8,P$2&lt;=$G8),1,0)</f>
        <v/>
      </c>
      <c r="Q8" s="17">
        <f>IF(AND($F8&lt;&gt;"",Q$2&gt;=$F8,Q$2&lt;=$G8),1,0)</f>
        <v/>
      </c>
      <c r="R8" s="17">
        <f>IF(AND($F8&lt;&gt;"",R$2&gt;=$F8,R$2&lt;=$G8),1,0)</f>
        <v/>
      </c>
      <c r="S8" s="17">
        <f>IF(AND($F8&lt;&gt;"",S$2&gt;=$F8,S$2&lt;=$G8),1,0)</f>
        <v/>
      </c>
      <c r="T8" s="17">
        <f>IF(AND($F8&lt;&gt;"",T$2&gt;=$F8,T$2&lt;=$G8),1,0)</f>
        <v/>
      </c>
      <c r="U8" s="17">
        <f>IF(AND($F8&lt;&gt;"",U$2&gt;=$F8,U$2&lt;=$G8),1,0)</f>
        <v/>
      </c>
      <c r="V8" s="17">
        <f>IF(AND($F8&lt;&gt;"",V$2&gt;=$F8,V$2&lt;=$G8),1,0)</f>
        <v/>
      </c>
      <c r="W8" s="17">
        <f>IF(AND($F8&lt;&gt;"",W$2&gt;=$F8,W$2&lt;=$G8),1,0)</f>
        <v/>
      </c>
      <c r="X8" s="17">
        <f>IF(AND($F8&lt;&gt;"",X$2&gt;=$F8,X$2&lt;=$G8),1,0)</f>
        <v/>
      </c>
      <c r="Y8" s="17">
        <f>IF(AND($F8&lt;&gt;"",Y$2&gt;=$F8,Y$2&lt;=$G8),1,0)</f>
        <v/>
      </c>
      <c r="Z8" s="17">
        <f>IF(AND($F8&lt;&gt;"",Z$2&gt;=$F8,Z$2&lt;=$G8),1,0)</f>
        <v/>
      </c>
      <c r="AA8" s="17">
        <f>IF(AND($F8&lt;&gt;"",AA$2&gt;=$F8,AA$2&lt;=$G8),1,0)</f>
        <v/>
      </c>
      <c r="AB8" s="17">
        <f>IF(AND($F8&lt;&gt;"",AB$2&gt;=$F8,AB$2&lt;=$G8),1,0)</f>
        <v/>
      </c>
      <c r="AC8" s="17">
        <f>IF(AND($F8&lt;&gt;"",AC$2&gt;=$F8,AC$2&lt;=$G8),1,0)</f>
        <v/>
      </c>
      <c r="AD8" s="17">
        <f>IF(AND($F8&lt;&gt;"",AD$2&gt;=$F8,AD$2&lt;=$G8),1,0)</f>
        <v/>
      </c>
      <c r="AE8" s="17">
        <f>IF(AND($F8&lt;&gt;"",AE$2&gt;=$F8,AE$2&lt;=$G8),1,0)</f>
        <v/>
      </c>
      <c r="AF8" s="17">
        <f>IF(AND($F8&lt;&gt;"",AF$2&gt;=$F8,AF$2&lt;=$G8),1,0)</f>
        <v/>
      </c>
      <c r="AG8" s="17">
        <f>IF(AND($F8&lt;&gt;"",AG$2&gt;=$F8,AG$2&lt;=$G8),1,0)</f>
        <v/>
      </c>
      <c r="AH8" s="17">
        <f>IF(AND($F8&lt;&gt;"",AH$2&gt;=$F8,AH$2&lt;=$G8),1,0)</f>
        <v/>
      </c>
      <c r="AI8" s="17">
        <f>IF(AND($F8&lt;&gt;"",AI$2&gt;=$F8,AI$2&lt;=$G8),1,0)</f>
        <v/>
      </c>
    </row>
    <row r="9">
      <c r="A9" s="2">
        <f>Schedule!$A$9</f>
        <v/>
      </c>
      <c r="B9" s="2">
        <f>Schedule!$B$9</f>
        <v/>
      </c>
      <c r="C9" s="2">
        <f>Schedule!$C$9</f>
        <v/>
      </c>
      <c r="D9" s="2">
        <f>Schedule!$G$9</f>
        <v/>
      </c>
      <c r="E9" s="2">
        <f>Schedule!$I$9</f>
        <v/>
      </c>
      <c r="F9" s="2">
        <f>Schedule!$D$9</f>
        <v/>
      </c>
      <c r="G9" s="2">
        <f>Schedule!$E$9</f>
        <v/>
      </c>
      <c r="H9" s="2">
        <f>IF(OR($F9="",$G9=""),0,$G9-$F9+1)</f>
        <v/>
      </c>
      <c r="I9" s="2">
        <f>IF($F9="","",IF($E9="Done","Done",IF($G9&lt;TODAY(),"Late",IF($E9="Not Started","Planned","In Progress"))))</f>
        <v/>
      </c>
      <c r="J9" s="17">
        <f>IF(AND($F9&lt;&gt;"",J$2&gt;=$F9,J$2&lt;=$G9),1,0)</f>
        <v/>
      </c>
      <c r="K9" s="17">
        <f>IF(AND($F9&lt;&gt;"",K$2&gt;=$F9,K$2&lt;=$G9),1,0)</f>
        <v/>
      </c>
      <c r="L9" s="17">
        <f>IF(AND($F9&lt;&gt;"",L$2&gt;=$F9,L$2&lt;=$G9),1,0)</f>
        <v/>
      </c>
      <c r="M9" s="17">
        <f>IF(AND($F9&lt;&gt;"",M$2&gt;=$F9,M$2&lt;=$G9),1,0)</f>
        <v/>
      </c>
      <c r="N9" s="17">
        <f>IF(AND($F9&lt;&gt;"",N$2&gt;=$F9,N$2&lt;=$G9),1,0)</f>
        <v/>
      </c>
      <c r="O9" s="17">
        <f>IF(AND($F9&lt;&gt;"",O$2&gt;=$F9,O$2&lt;=$G9),1,0)</f>
        <v/>
      </c>
      <c r="P9" s="17">
        <f>IF(AND($F9&lt;&gt;"",P$2&gt;=$F9,P$2&lt;=$G9),1,0)</f>
        <v/>
      </c>
      <c r="Q9" s="17">
        <f>IF(AND($F9&lt;&gt;"",Q$2&gt;=$F9,Q$2&lt;=$G9),1,0)</f>
        <v/>
      </c>
      <c r="R9" s="17">
        <f>IF(AND($F9&lt;&gt;"",R$2&gt;=$F9,R$2&lt;=$G9),1,0)</f>
        <v/>
      </c>
      <c r="S9" s="17">
        <f>IF(AND($F9&lt;&gt;"",S$2&gt;=$F9,S$2&lt;=$G9),1,0)</f>
        <v/>
      </c>
      <c r="T9" s="17">
        <f>IF(AND($F9&lt;&gt;"",T$2&gt;=$F9,T$2&lt;=$G9),1,0)</f>
        <v/>
      </c>
      <c r="U9" s="17">
        <f>IF(AND($F9&lt;&gt;"",U$2&gt;=$F9,U$2&lt;=$G9),1,0)</f>
        <v/>
      </c>
      <c r="V9" s="17">
        <f>IF(AND($F9&lt;&gt;"",V$2&gt;=$F9,V$2&lt;=$G9),1,0)</f>
        <v/>
      </c>
      <c r="W9" s="17">
        <f>IF(AND($F9&lt;&gt;"",W$2&gt;=$F9,W$2&lt;=$G9),1,0)</f>
        <v/>
      </c>
      <c r="X9" s="17">
        <f>IF(AND($F9&lt;&gt;"",X$2&gt;=$F9,X$2&lt;=$G9),1,0)</f>
        <v/>
      </c>
      <c r="Y9" s="17">
        <f>IF(AND($F9&lt;&gt;"",Y$2&gt;=$F9,Y$2&lt;=$G9),1,0)</f>
        <v/>
      </c>
      <c r="Z9" s="17">
        <f>IF(AND($F9&lt;&gt;"",Z$2&gt;=$F9,Z$2&lt;=$G9),1,0)</f>
        <v/>
      </c>
      <c r="AA9" s="17">
        <f>IF(AND($F9&lt;&gt;"",AA$2&gt;=$F9,AA$2&lt;=$G9),1,0)</f>
        <v/>
      </c>
      <c r="AB9" s="17">
        <f>IF(AND($F9&lt;&gt;"",AB$2&gt;=$F9,AB$2&lt;=$G9),1,0)</f>
        <v/>
      </c>
      <c r="AC9" s="17">
        <f>IF(AND($F9&lt;&gt;"",AC$2&gt;=$F9,AC$2&lt;=$G9),1,0)</f>
        <v/>
      </c>
      <c r="AD9" s="17">
        <f>IF(AND($F9&lt;&gt;"",AD$2&gt;=$F9,AD$2&lt;=$G9),1,0)</f>
        <v/>
      </c>
      <c r="AE9" s="17">
        <f>IF(AND($F9&lt;&gt;"",AE$2&gt;=$F9,AE$2&lt;=$G9),1,0)</f>
        <v/>
      </c>
      <c r="AF9" s="17">
        <f>IF(AND($F9&lt;&gt;"",AF$2&gt;=$F9,AF$2&lt;=$G9),1,0)</f>
        <v/>
      </c>
      <c r="AG9" s="17">
        <f>IF(AND($F9&lt;&gt;"",AG$2&gt;=$F9,AG$2&lt;=$G9),1,0)</f>
        <v/>
      </c>
      <c r="AH9" s="17">
        <f>IF(AND($F9&lt;&gt;"",AH$2&gt;=$F9,AH$2&lt;=$G9),1,0)</f>
        <v/>
      </c>
      <c r="AI9" s="17">
        <f>IF(AND($F9&lt;&gt;"",AI$2&gt;=$F9,AI$2&lt;=$G9),1,0)</f>
        <v/>
      </c>
    </row>
    <row r="10">
      <c r="A10" s="2">
        <f>Schedule!$A$10</f>
        <v/>
      </c>
      <c r="B10" s="2">
        <f>Schedule!$B$10</f>
        <v/>
      </c>
      <c r="C10" s="2">
        <f>Schedule!$C$10</f>
        <v/>
      </c>
      <c r="D10" s="2">
        <f>Schedule!$G$10</f>
        <v/>
      </c>
      <c r="E10" s="2">
        <f>Schedule!$I$10</f>
        <v/>
      </c>
      <c r="F10" s="2">
        <f>Schedule!$D$10</f>
        <v/>
      </c>
      <c r="G10" s="2">
        <f>Schedule!$E$10</f>
        <v/>
      </c>
      <c r="H10" s="2">
        <f>IF(OR($F10="",$G10=""),0,$G10-$F10+1)</f>
        <v/>
      </c>
      <c r="I10" s="2">
        <f>IF($F10="","",IF($E10="Done","Done",IF($G10&lt;TODAY(),"Late",IF($E10="Not Started","Planned","In Progress"))))</f>
        <v/>
      </c>
      <c r="J10" s="17">
        <f>IF(AND($F10&lt;&gt;"",J$2&gt;=$F10,J$2&lt;=$G10),1,0)</f>
        <v/>
      </c>
      <c r="K10" s="17">
        <f>IF(AND($F10&lt;&gt;"",K$2&gt;=$F10,K$2&lt;=$G10),1,0)</f>
        <v/>
      </c>
      <c r="L10" s="17">
        <f>IF(AND($F10&lt;&gt;"",L$2&gt;=$F10,L$2&lt;=$G10),1,0)</f>
        <v/>
      </c>
      <c r="M10" s="17">
        <f>IF(AND($F10&lt;&gt;"",M$2&gt;=$F10,M$2&lt;=$G10),1,0)</f>
        <v/>
      </c>
      <c r="N10" s="17">
        <f>IF(AND($F10&lt;&gt;"",N$2&gt;=$F10,N$2&lt;=$G10),1,0)</f>
        <v/>
      </c>
      <c r="O10" s="17">
        <f>IF(AND($F10&lt;&gt;"",O$2&gt;=$F10,O$2&lt;=$G10),1,0)</f>
        <v/>
      </c>
      <c r="P10" s="17">
        <f>IF(AND($F10&lt;&gt;"",P$2&gt;=$F10,P$2&lt;=$G10),1,0)</f>
        <v/>
      </c>
      <c r="Q10" s="17">
        <f>IF(AND($F10&lt;&gt;"",Q$2&gt;=$F10,Q$2&lt;=$G10),1,0)</f>
        <v/>
      </c>
      <c r="R10" s="17">
        <f>IF(AND($F10&lt;&gt;"",R$2&gt;=$F10,R$2&lt;=$G10),1,0)</f>
        <v/>
      </c>
      <c r="S10" s="17">
        <f>IF(AND($F10&lt;&gt;"",S$2&gt;=$F10,S$2&lt;=$G10),1,0)</f>
        <v/>
      </c>
      <c r="T10" s="17">
        <f>IF(AND($F10&lt;&gt;"",T$2&gt;=$F10,T$2&lt;=$G10),1,0)</f>
        <v/>
      </c>
      <c r="U10" s="17">
        <f>IF(AND($F10&lt;&gt;"",U$2&gt;=$F10,U$2&lt;=$G10),1,0)</f>
        <v/>
      </c>
      <c r="V10" s="17">
        <f>IF(AND($F10&lt;&gt;"",V$2&gt;=$F10,V$2&lt;=$G10),1,0)</f>
        <v/>
      </c>
      <c r="W10" s="17">
        <f>IF(AND($F10&lt;&gt;"",W$2&gt;=$F10,W$2&lt;=$G10),1,0)</f>
        <v/>
      </c>
      <c r="X10" s="17">
        <f>IF(AND($F10&lt;&gt;"",X$2&gt;=$F10,X$2&lt;=$G10),1,0)</f>
        <v/>
      </c>
      <c r="Y10" s="17">
        <f>IF(AND($F10&lt;&gt;"",Y$2&gt;=$F10,Y$2&lt;=$G10),1,0)</f>
        <v/>
      </c>
      <c r="Z10" s="17">
        <f>IF(AND($F10&lt;&gt;"",Z$2&gt;=$F10,Z$2&lt;=$G10),1,0)</f>
        <v/>
      </c>
      <c r="AA10" s="17">
        <f>IF(AND($F10&lt;&gt;"",AA$2&gt;=$F10,AA$2&lt;=$G10),1,0)</f>
        <v/>
      </c>
      <c r="AB10" s="17">
        <f>IF(AND($F10&lt;&gt;"",AB$2&gt;=$F10,AB$2&lt;=$G10),1,0)</f>
        <v/>
      </c>
      <c r="AC10" s="17">
        <f>IF(AND($F10&lt;&gt;"",AC$2&gt;=$F10,AC$2&lt;=$G10),1,0)</f>
        <v/>
      </c>
      <c r="AD10" s="17">
        <f>IF(AND($F10&lt;&gt;"",AD$2&gt;=$F10,AD$2&lt;=$G10),1,0)</f>
        <v/>
      </c>
      <c r="AE10" s="17">
        <f>IF(AND($F10&lt;&gt;"",AE$2&gt;=$F10,AE$2&lt;=$G10),1,0)</f>
        <v/>
      </c>
      <c r="AF10" s="17">
        <f>IF(AND($F10&lt;&gt;"",AF$2&gt;=$F10,AF$2&lt;=$G10),1,0)</f>
        <v/>
      </c>
      <c r="AG10" s="17">
        <f>IF(AND($F10&lt;&gt;"",AG$2&gt;=$F10,AG$2&lt;=$G10),1,0)</f>
        <v/>
      </c>
      <c r="AH10" s="17">
        <f>IF(AND($F10&lt;&gt;"",AH$2&gt;=$F10,AH$2&lt;=$G10),1,0)</f>
        <v/>
      </c>
      <c r="AI10" s="17">
        <f>IF(AND($F10&lt;&gt;"",AI$2&gt;=$F10,AI$2&lt;=$G10),1,0)</f>
        <v/>
      </c>
    </row>
    <row r="11">
      <c r="A11" s="2">
        <f>Schedule!$A$11</f>
        <v/>
      </c>
      <c r="B11" s="2">
        <f>Schedule!$B$11</f>
        <v/>
      </c>
      <c r="C11" s="2">
        <f>Schedule!$C$11</f>
        <v/>
      </c>
      <c r="D11" s="2">
        <f>Schedule!$G$11</f>
        <v/>
      </c>
      <c r="E11" s="2">
        <f>Schedule!$I$11</f>
        <v/>
      </c>
      <c r="F11" s="2">
        <f>Schedule!$D$11</f>
        <v/>
      </c>
      <c r="G11" s="2">
        <f>Schedule!$E$11</f>
        <v/>
      </c>
      <c r="H11" s="2">
        <f>IF(OR($F11="",$G11=""),0,$G11-$F11+1)</f>
        <v/>
      </c>
      <c r="I11" s="2">
        <f>IF($F11="","",IF($E11="Done","Done",IF($G11&lt;TODAY(),"Late",IF($E11="Not Started","Planned","In Progress"))))</f>
        <v/>
      </c>
      <c r="J11" s="17">
        <f>IF(AND($F11&lt;&gt;"",J$2&gt;=$F11,J$2&lt;=$G11),1,0)</f>
        <v/>
      </c>
      <c r="K11" s="17">
        <f>IF(AND($F11&lt;&gt;"",K$2&gt;=$F11,K$2&lt;=$G11),1,0)</f>
        <v/>
      </c>
      <c r="L11" s="17">
        <f>IF(AND($F11&lt;&gt;"",L$2&gt;=$F11,L$2&lt;=$G11),1,0)</f>
        <v/>
      </c>
      <c r="M11" s="17">
        <f>IF(AND($F11&lt;&gt;"",M$2&gt;=$F11,M$2&lt;=$G11),1,0)</f>
        <v/>
      </c>
      <c r="N11" s="17">
        <f>IF(AND($F11&lt;&gt;"",N$2&gt;=$F11,N$2&lt;=$G11),1,0)</f>
        <v/>
      </c>
      <c r="O11" s="17">
        <f>IF(AND($F11&lt;&gt;"",O$2&gt;=$F11,O$2&lt;=$G11),1,0)</f>
        <v/>
      </c>
      <c r="P11" s="17">
        <f>IF(AND($F11&lt;&gt;"",P$2&gt;=$F11,P$2&lt;=$G11),1,0)</f>
        <v/>
      </c>
      <c r="Q11" s="17">
        <f>IF(AND($F11&lt;&gt;"",Q$2&gt;=$F11,Q$2&lt;=$G11),1,0)</f>
        <v/>
      </c>
      <c r="R11" s="17">
        <f>IF(AND($F11&lt;&gt;"",R$2&gt;=$F11,R$2&lt;=$G11),1,0)</f>
        <v/>
      </c>
      <c r="S11" s="17">
        <f>IF(AND($F11&lt;&gt;"",S$2&gt;=$F11,S$2&lt;=$G11),1,0)</f>
        <v/>
      </c>
      <c r="T11" s="17">
        <f>IF(AND($F11&lt;&gt;"",T$2&gt;=$F11,T$2&lt;=$G11),1,0)</f>
        <v/>
      </c>
      <c r="U11" s="17">
        <f>IF(AND($F11&lt;&gt;"",U$2&gt;=$F11,U$2&lt;=$G11),1,0)</f>
        <v/>
      </c>
      <c r="V11" s="17">
        <f>IF(AND($F11&lt;&gt;"",V$2&gt;=$F11,V$2&lt;=$G11),1,0)</f>
        <v/>
      </c>
      <c r="W11" s="17">
        <f>IF(AND($F11&lt;&gt;"",W$2&gt;=$F11,W$2&lt;=$G11),1,0)</f>
        <v/>
      </c>
      <c r="X11" s="17">
        <f>IF(AND($F11&lt;&gt;"",X$2&gt;=$F11,X$2&lt;=$G11),1,0)</f>
        <v/>
      </c>
      <c r="Y11" s="17">
        <f>IF(AND($F11&lt;&gt;"",Y$2&gt;=$F11,Y$2&lt;=$G11),1,0)</f>
        <v/>
      </c>
      <c r="Z11" s="17">
        <f>IF(AND($F11&lt;&gt;"",Z$2&gt;=$F11,Z$2&lt;=$G11),1,0)</f>
        <v/>
      </c>
      <c r="AA11" s="17">
        <f>IF(AND($F11&lt;&gt;"",AA$2&gt;=$F11,AA$2&lt;=$G11),1,0)</f>
        <v/>
      </c>
      <c r="AB11" s="17">
        <f>IF(AND($F11&lt;&gt;"",AB$2&gt;=$F11,AB$2&lt;=$G11),1,0)</f>
        <v/>
      </c>
      <c r="AC11" s="17">
        <f>IF(AND($F11&lt;&gt;"",AC$2&gt;=$F11,AC$2&lt;=$G11),1,0)</f>
        <v/>
      </c>
      <c r="AD11" s="17">
        <f>IF(AND($F11&lt;&gt;"",AD$2&gt;=$F11,AD$2&lt;=$G11),1,0)</f>
        <v/>
      </c>
      <c r="AE11" s="17">
        <f>IF(AND($F11&lt;&gt;"",AE$2&gt;=$F11,AE$2&lt;=$G11),1,0)</f>
        <v/>
      </c>
      <c r="AF11" s="17">
        <f>IF(AND($F11&lt;&gt;"",AF$2&gt;=$F11,AF$2&lt;=$G11),1,0)</f>
        <v/>
      </c>
      <c r="AG11" s="17">
        <f>IF(AND($F11&lt;&gt;"",AG$2&gt;=$F11,AG$2&lt;=$G11),1,0)</f>
        <v/>
      </c>
      <c r="AH11" s="17">
        <f>IF(AND($F11&lt;&gt;"",AH$2&gt;=$F11,AH$2&lt;=$G11),1,0)</f>
        <v/>
      </c>
      <c r="AI11" s="17">
        <f>IF(AND($F11&lt;&gt;"",AI$2&gt;=$F11,AI$2&lt;=$G11),1,0)</f>
        <v/>
      </c>
    </row>
    <row r="12">
      <c r="A12" s="2">
        <f>Schedule!$A$12</f>
        <v/>
      </c>
      <c r="B12" s="2">
        <f>Schedule!$B$12</f>
        <v/>
      </c>
      <c r="C12" s="2">
        <f>Schedule!$C$12</f>
        <v/>
      </c>
      <c r="D12" s="2">
        <f>Schedule!$G$12</f>
        <v/>
      </c>
      <c r="E12" s="2">
        <f>Schedule!$I$12</f>
        <v/>
      </c>
      <c r="F12" s="2">
        <f>Schedule!$D$12</f>
        <v/>
      </c>
      <c r="G12" s="2">
        <f>Schedule!$E$12</f>
        <v/>
      </c>
      <c r="H12" s="2">
        <f>IF(OR($F12="",$G12=""),0,$G12-$F12+1)</f>
        <v/>
      </c>
      <c r="I12" s="2">
        <f>IF($F12="","",IF($E12="Done","Done",IF($G12&lt;TODAY(),"Late",IF($E12="Not Started","Planned","In Progress"))))</f>
        <v/>
      </c>
      <c r="J12" s="17">
        <f>IF(AND($F12&lt;&gt;"",J$2&gt;=$F12,J$2&lt;=$G12),1,0)</f>
        <v/>
      </c>
      <c r="K12" s="17">
        <f>IF(AND($F12&lt;&gt;"",K$2&gt;=$F12,K$2&lt;=$G12),1,0)</f>
        <v/>
      </c>
      <c r="L12" s="17">
        <f>IF(AND($F12&lt;&gt;"",L$2&gt;=$F12,L$2&lt;=$G12),1,0)</f>
        <v/>
      </c>
      <c r="M12" s="17">
        <f>IF(AND($F12&lt;&gt;"",M$2&gt;=$F12,M$2&lt;=$G12),1,0)</f>
        <v/>
      </c>
      <c r="N12" s="17">
        <f>IF(AND($F12&lt;&gt;"",N$2&gt;=$F12,N$2&lt;=$G12),1,0)</f>
        <v/>
      </c>
      <c r="O12" s="17">
        <f>IF(AND($F12&lt;&gt;"",O$2&gt;=$F12,O$2&lt;=$G12),1,0)</f>
        <v/>
      </c>
      <c r="P12" s="17">
        <f>IF(AND($F12&lt;&gt;"",P$2&gt;=$F12,P$2&lt;=$G12),1,0)</f>
        <v/>
      </c>
      <c r="Q12" s="17">
        <f>IF(AND($F12&lt;&gt;"",Q$2&gt;=$F12,Q$2&lt;=$G12),1,0)</f>
        <v/>
      </c>
      <c r="R12" s="17">
        <f>IF(AND($F12&lt;&gt;"",R$2&gt;=$F12,R$2&lt;=$G12),1,0)</f>
        <v/>
      </c>
      <c r="S12" s="17">
        <f>IF(AND($F12&lt;&gt;"",S$2&gt;=$F12,S$2&lt;=$G12),1,0)</f>
        <v/>
      </c>
      <c r="T12" s="17">
        <f>IF(AND($F12&lt;&gt;"",T$2&gt;=$F12,T$2&lt;=$G12),1,0)</f>
        <v/>
      </c>
      <c r="U12" s="17">
        <f>IF(AND($F12&lt;&gt;"",U$2&gt;=$F12,U$2&lt;=$G12),1,0)</f>
        <v/>
      </c>
      <c r="V12" s="17">
        <f>IF(AND($F12&lt;&gt;"",V$2&gt;=$F12,V$2&lt;=$G12),1,0)</f>
        <v/>
      </c>
      <c r="W12" s="17">
        <f>IF(AND($F12&lt;&gt;"",W$2&gt;=$F12,W$2&lt;=$G12),1,0)</f>
        <v/>
      </c>
      <c r="X12" s="17">
        <f>IF(AND($F12&lt;&gt;"",X$2&gt;=$F12,X$2&lt;=$G12),1,0)</f>
        <v/>
      </c>
      <c r="Y12" s="17">
        <f>IF(AND($F12&lt;&gt;"",Y$2&gt;=$F12,Y$2&lt;=$G12),1,0)</f>
        <v/>
      </c>
      <c r="Z12" s="17">
        <f>IF(AND($F12&lt;&gt;"",Z$2&gt;=$F12,Z$2&lt;=$G12),1,0)</f>
        <v/>
      </c>
      <c r="AA12" s="17">
        <f>IF(AND($F12&lt;&gt;"",AA$2&gt;=$F12,AA$2&lt;=$G12),1,0)</f>
        <v/>
      </c>
      <c r="AB12" s="17">
        <f>IF(AND($F12&lt;&gt;"",AB$2&gt;=$F12,AB$2&lt;=$G12),1,0)</f>
        <v/>
      </c>
      <c r="AC12" s="17">
        <f>IF(AND($F12&lt;&gt;"",AC$2&gt;=$F12,AC$2&lt;=$G12),1,0)</f>
        <v/>
      </c>
      <c r="AD12" s="17">
        <f>IF(AND($F12&lt;&gt;"",AD$2&gt;=$F12,AD$2&lt;=$G12),1,0)</f>
        <v/>
      </c>
      <c r="AE12" s="17">
        <f>IF(AND($F12&lt;&gt;"",AE$2&gt;=$F12,AE$2&lt;=$G12),1,0)</f>
        <v/>
      </c>
      <c r="AF12" s="17">
        <f>IF(AND($F12&lt;&gt;"",AF$2&gt;=$F12,AF$2&lt;=$G12),1,0)</f>
        <v/>
      </c>
      <c r="AG12" s="17">
        <f>IF(AND($F12&lt;&gt;"",AG$2&gt;=$F12,AG$2&lt;=$G12),1,0)</f>
        <v/>
      </c>
      <c r="AH12" s="17">
        <f>IF(AND($F12&lt;&gt;"",AH$2&gt;=$F12,AH$2&lt;=$G12),1,0)</f>
        <v/>
      </c>
      <c r="AI12" s="17">
        <f>IF(AND($F12&lt;&gt;"",AI$2&gt;=$F12,AI$2&lt;=$G12),1,0)</f>
        <v/>
      </c>
    </row>
    <row r="13">
      <c r="A13" s="2">
        <f>Schedule!$A$13</f>
        <v/>
      </c>
      <c r="B13" s="2">
        <f>Schedule!$B$13</f>
        <v/>
      </c>
      <c r="C13" s="2">
        <f>Schedule!$C$13</f>
        <v/>
      </c>
      <c r="D13" s="2">
        <f>Schedule!$G$13</f>
        <v/>
      </c>
      <c r="E13" s="2">
        <f>Schedule!$I$13</f>
        <v/>
      </c>
      <c r="F13" s="2">
        <f>Schedule!$D$13</f>
        <v/>
      </c>
      <c r="G13" s="2">
        <f>Schedule!$E$13</f>
        <v/>
      </c>
      <c r="H13" s="2">
        <f>IF(OR($F13="",$G13=""),0,$G13-$F13+1)</f>
        <v/>
      </c>
      <c r="I13" s="2">
        <f>IF($F13="","",IF($E13="Done","Done",IF($G13&lt;TODAY(),"Late",IF($E13="Not Started","Planned","In Progress"))))</f>
        <v/>
      </c>
      <c r="J13" s="17">
        <f>IF(AND($F13&lt;&gt;"",J$2&gt;=$F13,J$2&lt;=$G13),1,0)</f>
        <v/>
      </c>
      <c r="K13" s="17">
        <f>IF(AND($F13&lt;&gt;"",K$2&gt;=$F13,K$2&lt;=$G13),1,0)</f>
        <v/>
      </c>
      <c r="L13" s="17">
        <f>IF(AND($F13&lt;&gt;"",L$2&gt;=$F13,L$2&lt;=$G13),1,0)</f>
        <v/>
      </c>
      <c r="M13" s="17">
        <f>IF(AND($F13&lt;&gt;"",M$2&gt;=$F13,M$2&lt;=$G13),1,0)</f>
        <v/>
      </c>
      <c r="N13" s="17">
        <f>IF(AND($F13&lt;&gt;"",N$2&gt;=$F13,N$2&lt;=$G13),1,0)</f>
        <v/>
      </c>
      <c r="O13" s="17">
        <f>IF(AND($F13&lt;&gt;"",O$2&gt;=$F13,O$2&lt;=$G13),1,0)</f>
        <v/>
      </c>
      <c r="P13" s="17">
        <f>IF(AND($F13&lt;&gt;"",P$2&gt;=$F13,P$2&lt;=$G13),1,0)</f>
        <v/>
      </c>
      <c r="Q13" s="17">
        <f>IF(AND($F13&lt;&gt;"",Q$2&gt;=$F13,Q$2&lt;=$G13),1,0)</f>
        <v/>
      </c>
      <c r="R13" s="17">
        <f>IF(AND($F13&lt;&gt;"",R$2&gt;=$F13,R$2&lt;=$G13),1,0)</f>
        <v/>
      </c>
      <c r="S13" s="17">
        <f>IF(AND($F13&lt;&gt;"",S$2&gt;=$F13,S$2&lt;=$G13),1,0)</f>
        <v/>
      </c>
      <c r="T13" s="17">
        <f>IF(AND($F13&lt;&gt;"",T$2&gt;=$F13,T$2&lt;=$G13),1,0)</f>
        <v/>
      </c>
      <c r="U13" s="17">
        <f>IF(AND($F13&lt;&gt;"",U$2&gt;=$F13,U$2&lt;=$G13),1,0)</f>
        <v/>
      </c>
      <c r="V13" s="17">
        <f>IF(AND($F13&lt;&gt;"",V$2&gt;=$F13,V$2&lt;=$G13),1,0)</f>
        <v/>
      </c>
      <c r="W13" s="17">
        <f>IF(AND($F13&lt;&gt;"",W$2&gt;=$F13,W$2&lt;=$G13),1,0)</f>
        <v/>
      </c>
      <c r="X13" s="17">
        <f>IF(AND($F13&lt;&gt;"",X$2&gt;=$F13,X$2&lt;=$G13),1,0)</f>
        <v/>
      </c>
      <c r="Y13" s="17">
        <f>IF(AND($F13&lt;&gt;"",Y$2&gt;=$F13,Y$2&lt;=$G13),1,0)</f>
        <v/>
      </c>
      <c r="Z13" s="17">
        <f>IF(AND($F13&lt;&gt;"",Z$2&gt;=$F13,Z$2&lt;=$G13),1,0)</f>
        <v/>
      </c>
      <c r="AA13" s="17">
        <f>IF(AND($F13&lt;&gt;"",AA$2&gt;=$F13,AA$2&lt;=$G13),1,0)</f>
        <v/>
      </c>
      <c r="AB13" s="17">
        <f>IF(AND($F13&lt;&gt;"",AB$2&gt;=$F13,AB$2&lt;=$G13),1,0)</f>
        <v/>
      </c>
      <c r="AC13" s="17">
        <f>IF(AND($F13&lt;&gt;"",AC$2&gt;=$F13,AC$2&lt;=$G13),1,0)</f>
        <v/>
      </c>
      <c r="AD13" s="17">
        <f>IF(AND($F13&lt;&gt;"",AD$2&gt;=$F13,AD$2&lt;=$G13),1,0)</f>
        <v/>
      </c>
      <c r="AE13" s="17">
        <f>IF(AND($F13&lt;&gt;"",AE$2&gt;=$F13,AE$2&lt;=$G13),1,0)</f>
        <v/>
      </c>
      <c r="AF13" s="17">
        <f>IF(AND($F13&lt;&gt;"",AF$2&gt;=$F13,AF$2&lt;=$G13),1,0)</f>
        <v/>
      </c>
      <c r="AG13" s="17">
        <f>IF(AND($F13&lt;&gt;"",AG$2&gt;=$F13,AG$2&lt;=$G13),1,0)</f>
        <v/>
      </c>
      <c r="AH13" s="17">
        <f>IF(AND($F13&lt;&gt;"",AH$2&gt;=$F13,AH$2&lt;=$G13),1,0)</f>
        <v/>
      </c>
      <c r="AI13" s="17">
        <f>IF(AND($F13&lt;&gt;"",AI$2&gt;=$F13,AI$2&lt;=$G13),1,0)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conditionalFormatting sqref="J3:AI13">
    <cfRule type="expression" priority="1" dxfId="2">
      <formula>AND(J3=1,$I3="Done")</formula>
    </cfRule>
    <cfRule type="expression" priority="2" dxfId="3">
      <formula>AND(J3=1,$I3="In Progress")</formula>
    </cfRule>
    <cfRule type="expression" priority="3" dxfId="4">
      <formula>AND(J3=1,$I3="Late")</formula>
    </cfRule>
    <cfRule type="expression" priority="4" dxfId="5">
      <formula>AND(J3=1,$I3="Planned")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4C81"/>
    <outlinePr summaryBelow="1" summaryRight="1"/>
    <pageSetUpPr/>
  </sheetPr>
  <dimension ref="A1:M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3" customWidth="1" min="4" max="4"/>
    <col width="11" customWidth="1" min="5" max="5"/>
    <col width="11" customWidth="1" min="6" max="6"/>
    <col width="14" customWidth="1" min="7" max="7"/>
    <col width="13" customWidth="1" min="8" max="8"/>
    <col width="12" customWidth="1" min="9" max="9"/>
    <col width="13" customWidth="1" min="10" max="10"/>
    <col width="15" customWidth="1" min="11" max="11"/>
    <col width="14" customWidth="1" min="12" max="12"/>
    <col width="13" customWidth="1" min="13" max="13"/>
  </cols>
  <sheetData>
    <row r="1">
      <c r="A1" s="1" t="inlineStr">
        <is>
          <t>Schedule</t>
        </is>
      </c>
      <c r="B1" s="3" t="inlineStr">
        <is>
          <t>زمان‌بندی فعالیت‌ها؛ Duration = End - Start + 1 و Delay برای فعالیت‌های معوق محاسبه می‌شود.</t>
        </is>
      </c>
    </row>
    <row r="2">
      <c r="A2" s="4" t="inlineStr">
        <is>
          <t>System_ID</t>
        </is>
      </c>
      <c r="B2" s="4" t="inlineStr">
        <is>
          <t>Project_ID</t>
        </is>
      </c>
      <c r="C2" s="4" t="inlineStr">
        <is>
          <t>Activity</t>
        </is>
      </c>
      <c r="D2" s="4" t="inlineStr">
        <is>
          <t>Start_Date</t>
        </is>
      </c>
      <c r="E2" s="4" t="inlineStr">
        <is>
          <t>End_Date</t>
        </is>
      </c>
      <c r="F2" s="4" t="inlineStr">
        <is>
          <t>Duration</t>
        </is>
      </c>
      <c r="G2" s="4" t="inlineStr">
        <is>
          <t>Responsible</t>
        </is>
      </c>
      <c r="H2" s="4" t="inlineStr">
        <is>
          <t>Dependency</t>
        </is>
      </c>
      <c r="I2" s="4" t="inlineStr">
        <is>
          <t>Status_ID</t>
        </is>
      </c>
      <c r="J2" s="4" t="inlineStr">
        <is>
          <t>Delay_Days</t>
        </is>
      </c>
      <c r="K2" s="4" t="inlineStr">
        <is>
          <t>Delay_Reason</t>
        </is>
      </c>
      <c r="L2" s="4" t="inlineStr">
        <is>
          <t>Create_Date</t>
        </is>
      </c>
      <c r="M2" s="4" t="inlineStr">
        <is>
          <t>Created_By</t>
        </is>
      </c>
    </row>
    <row r="3">
      <c r="A3" s="2" t="inlineStr">
        <is>
          <t>SCH-000256</t>
        </is>
      </c>
      <c r="B3" s="2" t="inlineStr">
        <is>
          <t>PRJ-2026-00125</t>
        </is>
      </c>
      <c r="C3" s="2" t="inlineStr">
        <is>
          <t>Engineering</t>
        </is>
      </c>
      <c r="D3" s="10" t="n">
        <v>46286</v>
      </c>
      <c r="E3" s="10" t="n">
        <v>46295</v>
      </c>
      <c r="F3" s="2">
        <f>IF(ISBLANK($E3),0,$E3-$D3+1)</f>
        <v/>
      </c>
      <c r="G3" s="2" t="inlineStr">
        <is>
          <t>USR-04</t>
        </is>
      </c>
      <c r="H3" s="2" t="inlineStr"/>
      <c r="I3" s="2" t="inlineStr">
        <is>
          <t>Done</t>
        </is>
      </c>
      <c r="J3" s="11">
        <f>IF(ISBLANK($E3),0,IF($I3="Done",0,IF(AND($I3&lt;&gt;"Done",TODAY()&gt;$D3),TODAY()-$D3,0)))</f>
        <v/>
      </c>
      <c r="K3" s="2" t="inlineStr"/>
      <c r="L3" s="10" t="n">
        <v>46293</v>
      </c>
      <c r="M3" s="10" t="inlineStr">
        <is>
          <t>USR-05</t>
        </is>
      </c>
    </row>
    <row r="4">
      <c r="A4" s="7" t="inlineStr">
        <is>
          <t>SCH-000257</t>
        </is>
      </c>
      <c r="B4" s="7" t="inlineStr">
        <is>
          <t>PRJ-2026-00125</t>
        </is>
      </c>
      <c r="C4" s="7" t="inlineStr">
        <is>
          <t>BOM Release</t>
        </is>
      </c>
      <c r="D4" s="13" t="n">
        <v>46293</v>
      </c>
      <c r="E4" s="13" t="n">
        <v>46295</v>
      </c>
      <c r="F4" s="7">
        <f>IF(ISBLANK($E4),0,$E4-$D4+1)</f>
        <v/>
      </c>
      <c r="G4" s="7" t="inlineStr">
        <is>
          <t>USR-04</t>
        </is>
      </c>
      <c r="H4" s="7" t="inlineStr">
        <is>
          <t>Engineering</t>
        </is>
      </c>
      <c r="I4" s="7" t="inlineStr">
        <is>
          <t>Done</t>
        </is>
      </c>
      <c r="J4" s="14">
        <f>IF(ISBLANK($E4),0,IF($I4="Done",0,IF(AND($I4&lt;&gt;"Done",TODAY()&gt;$D4),TODAY()-$D4,0)))</f>
        <v/>
      </c>
      <c r="K4" s="7" t="inlineStr"/>
      <c r="L4" s="13" t="n">
        <v>46293</v>
      </c>
      <c r="M4" s="13" t="inlineStr">
        <is>
          <t>USR-05</t>
        </is>
      </c>
    </row>
    <row r="5">
      <c r="A5" s="2" t="inlineStr">
        <is>
          <t>SCH-000258</t>
        </is>
      </c>
      <c r="B5" s="2" t="inlineStr">
        <is>
          <t>PRJ-2026-00125</t>
        </is>
      </c>
      <c r="C5" s="2" t="inlineStr">
        <is>
          <t>Procurement</t>
        </is>
      </c>
      <c r="D5" s="10" t="n">
        <v>46296</v>
      </c>
      <c r="E5" s="10" t="n">
        <v>46315</v>
      </c>
      <c r="F5" s="2">
        <f>IF(ISBLANK($E5),0,$E5-$D5+1)</f>
        <v/>
      </c>
      <c r="G5" s="2" t="inlineStr">
        <is>
          <t>USR-06</t>
        </is>
      </c>
      <c r="H5" s="2" t="inlineStr">
        <is>
          <t>BOM Release</t>
        </is>
      </c>
      <c r="I5" s="2" t="inlineStr">
        <is>
          <t>In Progress</t>
        </is>
      </c>
      <c r="J5" s="11">
        <f>IF(ISBLANK($E5),0,IF($I5="Done",0,IF(AND($I5&lt;&gt;"Done",TODAY()&gt;$D5),TODAY()-$D5,0)))</f>
        <v/>
      </c>
      <c r="K5" s="2" t="inlineStr"/>
      <c r="L5" s="10" t="n">
        <v>46293</v>
      </c>
      <c r="M5" s="10" t="inlineStr">
        <is>
          <t>USR-05</t>
        </is>
      </c>
    </row>
    <row r="6">
      <c r="A6" s="7" t="inlineStr">
        <is>
          <t>SCH-000259</t>
        </is>
      </c>
      <c r="B6" s="7" t="inlineStr">
        <is>
          <t>PRJ-2026-00125</t>
        </is>
      </c>
      <c r="C6" s="7" t="inlineStr">
        <is>
          <t>Supplier Confirmation</t>
        </is>
      </c>
      <c r="D6" s="13" t="n">
        <v>46300</v>
      </c>
      <c r="E6" s="13" t="n">
        <v>46315</v>
      </c>
      <c r="F6" s="7">
        <f>IF(ISBLANK($E6),0,$E6-$D6+1)</f>
        <v/>
      </c>
      <c r="G6" s="7" t="inlineStr">
        <is>
          <t>USR-06</t>
        </is>
      </c>
      <c r="H6" s="7" t="inlineStr">
        <is>
          <t>Procurement</t>
        </is>
      </c>
      <c r="I6" s="7" t="inlineStr">
        <is>
          <t>In Progress</t>
        </is>
      </c>
      <c r="J6" s="14">
        <f>IF(ISBLANK($E6),0,IF($I6="Done",0,IF(AND($I6&lt;&gt;"Done",TODAY()&gt;$D6),TODAY()-$D6,0)))</f>
        <v/>
      </c>
      <c r="K6" s="7" t="inlineStr"/>
      <c r="L6" s="13" t="n">
        <v>46293</v>
      </c>
      <c r="M6" s="13" t="inlineStr">
        <is>
          <t>USR-05</t>
        </is>
      </c>
    </row>
    <row r="7">
      <c r="A7" s="2" t="inlineStr">
        <is>
          <t>SCH-000260</t>
        </is>
      </c>
      <c r="B7" s="2" t="inlineStr">
        <is>
          <t>PRJ-2026-00125</t>
        </is>
      </c>
      <c r="C7" s="2" t="inlineStr">
        <is>
          <t>Material Arrival</t>
        </is>
      </c>
      <c r="D7" s="10" t="n">
        <v>46327</v>
      </c>
      <c r="E7" s="10" t="n">
        <v>46341</v>
      </c>
      <c r="F7" s="2">
        <f>IF(ISBLANK($E7),0,$E7-$D7+1)</f>
        <v/>
      </c>
      <c r="G7" s="2" t="inlineStr">
        <is>
          <t>USR-06</t>
        </is>
      </c>
      <c r="H7" s="2" t="inlineStr">
        <is>
          <t>Supplier Confirmation</t>
        </is>
      </c>
      <c r="I7" s="2" t="inlineStr">
        <is>
          <t>Not Started</t>
        </is>
      </c>
      <c r="J7" s="11">
        <f>IF(ISBLANK($E7),0,IF($I7="Done",0,IF(AND($I7&lt;&gt;"Done",TODAY()&gt;$D7),TODAY()-$D7,0)))</f>
        <v/>
      </c>
      <c r="K7" s="2" t="inlineStr"/>
      <c r="L7" s="10" t="n">
        <v>46293</v>
      </c>
      <c r="M7" s="10" t="inlineStr">
        <is>
          <t>USR-05</t>
        </is>
      </c>
    </row>
    <row r="8">
      <c r="A8" s="7" t="inlineStr">
        <is>
          <t>SCH-000261</t>
        </is>
      </c>
      <c r="B8" s="7" t="inlineStr">
        <is>
          <t>PRJ-2026-00125</t>
        </is>
      </c>
      <c r="C8" s="7" t="inlineStr">
        <is>
          <t>Production Planning</t>
        </is>
      </c>
      <c r="D8" s="13" t="n">
        <v>46336</v>
      </c>
      <c r="E8" s="13" t="n">
        <v>46346</v>
      </c>
      <c r="F8" s="7">
        <f>IF(ISBLANK($E8),0,$E8-$D8+1)</f>
        <v/>
      </c>
      <c r="G8" s="7" t="inlineStr">
        <is>
          <t>USR-05</t>
        </is>
      </c>
      <c r="H8" s="7" t="inlineStr">
        <is>
          <t>Material Arrival</t>
        </is>
      </c>
      <c r="I8" s="7" t="inlineStr">
        <is>
          <t>Not Started</t>
        </is>
      </c>
      <c r="J8" s="14">
        <f>IF(ISBLANK($E8),0,IF($I8="Done",0,IF(AND($I8&lt;&gt;"Done",TODAY()&gt;$D8),TODAY()-$D8,0)))</f>
        <v/>
      </c>
      <c r="K8" s="7" t="inlineStr"/>
      <c r="L8" s="13" t="n">
        <v>46293</v>
      </c>
      <c r="M8" s="13" t="inlineStr">
        <is>
          <t>USR-05</t>
        </is>
      </c>
    </row>
    <row r="9">
      <c r="A9" s="2" t="inlineStr">
        <is>
          <t>SCH-000262</t>
        </is>
      </c>
      <c r="B9" s="2" t="inlineStr">
        <is>
          <t>PRJ-2026-00125</t>
        </is>
      </c>
      <c r="C9" s="2" t="inlineStr">
        <is>
          <t>Production</t>
        </is>
      </c>
      <c r="D9" s="10" t="n">
        <v>46346</v>
      </c>
      <c r="E9" s="10" t="n">
        <v>46361</v>
      </c>
      <c r="F9" s="2">
        <f>IF(ISBLANK($E9),0,$E9-$D9+1)</f>
        <v/>
      </c>
      <c r="G9" s="2" t="inlineStr">
        <is>
          <t>USR-05</t>
        </is>
      </c>
      <c r="H9" s="2" t="inlineStr">
        <is>
          <t>Production Planning</t>
        </is>
      </c>
      <c r="I9" s="2" t="inlineStr">
        <is>
          <t>Not Started</t>
        </is>
      </c>
      <c r="J9" s="11">
        <f>IF(ISBLANK($E9),0,IF($I9="Done",0,IF(AND($I9&lt;&gt;"Done",TODAY()&gt;$D9),TODAY()-$D9,0)))</f>
        <v/>
      </c>
      <c r="K9" s="2" t="inlineStr"/>
      <c r="L9" s="10" t="n">
        <v>46293</v>
      </c>
      <c r="M9" s="10" t="inlineStr">
        <is>
          <t>USR-05</t>
        </is>
      </c>
    </row>
    <row r="10">
      <c r="A10" s="7" t="inlineStr">
        <is>
          <t>SCH-000263</t>
        </is>
      </c>
      <c r="B10" s="7" t="inlineStr">
        <is>
          <t>PRJ-2026-00125</t>
        </is>
      </c>
      <c r="C10" s="7" t="inlineStr">
        <is>
          <t>QC</t>
        </is>
      </c>
      <c r="D10" s="13" t="n">
        <v>46362</v>
      </c>
      <c r="E10" s="13" t="n">
        <v>46366</v>
      </c>
      <c r="F10" s="7">
        <f>IF(ISBLANK($E10),0,$E10-$D10+1)</f>
        <v/>
      </c>
      <c r="G10" s="7" t="inlineStr">
        <is>
          <t>USR-04</t>
        </is>
      </c>
      <c r="H10" s="7" t="inlineStr">
        <is>
          <t>Production</t>
        </is>
      </c>
      <c r="I10" s="7" t="inlineStr">
        <is>
          <t>Not Started</t>
        </is>
      </c>
      <c r="J10" s="14">
        <f>IF(ISBLANK($E10),0,IF($I10="Done",0,IF(AND($I10&lt;&gt;"Done",TODAY()&gt;$D10),TODAY()-$D10,0)))</f>
        <v/>
      </c>
      <c r="K10" s="7" t="inlineStr"/>
      <c r="L10" s="13" t="n">
        <v>46293</v>
      </c>
      <c r="M10" s="13" t="inlineStr">
        <is>
          <t>USR-05</t>
        </is>
      </c>
    </row>
    <row r="11">
      <c r="A11" s="2" t="inlineStr">
        <is>
          <t>SCH-000264</t>
        </is>
      </c>
      <c r="B11" s="2" t="inlineStr">
        <is>
          <t>PRJ-2026-00125</t>
        </is>
      </c>
      <c r="C11" s="2" t="inlineStr">
        <is>
          <t>Packing</t>
        </is>
      </c>
      <c r="D11" s="10" t="n">
        <v>46367</v>
      </c>
      <c r="E11" s="10" t="n">
        <v>46370</v>
      </c>
      <c r="F11" s="2">
        <f>IF(ISBLANK($E11),0,$E11-$D11+1)</f>
        <v/>
      </c>
      <c r="G11" s="2" t="inlineStr">
        <is>
          <t>USR-05</t>
        </is>
      </c>
      <c r="H11" s="2" t="inlineStr">
        <is>
          <t>QC</t>
        </is>
      </c>
      <c r="I11" s="2" t="inlineStr">
        <is>
          <t>Not Started</t>
        </is>
      </c>
      <c r="J11" s="11">
        <f>IF(ISBLANK($E11),0,IF($I11="Done",0,IF(AND($I11&lt;&gt;"Done",TODAY()&gt;$D11),TODAY()-$D11,0)))</f>
        <v/>
      </c>
      <c r="K11" s="2" t="inlineStr"/>
      <c r="L11" s="10" t="n">
        <v>46293</v>
      </c>
      <c r="M11" s="10" t="inlineStr">
        <is>
          <t>USR-05</t>
        </is>
      </c>
    </row>
    <row r="12">
      <c r="A12" s="7" t="inlineStr">
        <is>
          <t>SCH-000265</t>
        </is>
      </c>
      <c r="B12" s="7" t="inlineStr">
        <is>
          <t>PRJ-2026-00125</t>
        </is>
      </c>
      <c r="C12" s="7" t="inlineStr">
        <is>
          <t>Delivery</t>
        </is>
      </c>
      <c r="D12" s="13" t="n">
        <v>46371</v>
      </c>
      <c r="E12" s="13" t="n">
        <v>46374</v>
      </c>
      <c r="F12" s="7">
        <f>IF(ISBLANK($E12),0,$E12-$D12+1)</f>
        <v/>
      </c>
      <c r="G12" s="7" t="inlineStr">
        <is>
          <t>USR-02</t>
        </is>
      </c>
      <c r="H12" s="7" t="inlineStr">
        <is>
          <t>Packing</t>
        </is>
      </c>
      <c r="I12" s="7" t="inlineStr">
        <is>
          <t>Not Started</t>
        </is>
      </c>
      <c r="J12" s="14">
        <f>IF(ISBLANK($E12),0,IF($I12="Done",0,IF(AND($I12&lt;&gt;"Done",TODAY()&gt;$D12),TODAY()-$D12,0)))</f>
        <v/>
      </c>
      <c r="K12" s="7" t="inlineStr"/>
      <c r="L12" s="13" t="n">
        <v>46293</v>
      </c>
      <c r="M12" s="13" t="inlineStr">
        <is>
          <t>USR-05</t>
        </is>
      </c>
    </row>
    <row r="13">
      <c r="A13" s="2" t="inlineStr">
        <is>
          <t>SCH-000266</t>
        </is>
      </c>
      <c r="B13" s="2" t="inlineStr">
        <is>
          <t>PRJ-2026-00126</t>
        </is>
      </c>
      <c r="C13" s="2" t="inlineStr">
        <is>
          <t>Engineering</t>
        </is>
      </c>
      <c r="D13" s="10" t="n">
        <v>46266</v>
      </c>
      <c r="E13" s="10" t="n">
        <v>46280</v>
      </c>
      <c r="F13" s="2">
        <f>IF(ISBLANK($E13),0,$E13-$D13+1)</f>
        <v/>
      </c>
      <c r="G13" s="2" t="inlineStr">
        <is>
          <t>USR-04</t>
        </is>
      </c>
      <c r="H13" s="2" t="inlineStr"/>
      <c r="I13" s="2" t="inlineStr">
        <is>
          <t>In Progress</t>
        </is>
      </c>
      <c r="J13" s="11">
        <f>IF(ISBLANK($E13),0,IF($I13="Done",0,IF(AND($I13&lt;&gt;"Done",TODAY()&gt;$D13),TODAY()-$D13,0)))</f>
        <v/>
      </c>
      <c r="K13" s="2" t="inlineStr">
        <is>
          <t>در انتظار تأیید نقشه</t>
        </is>
      </c>
      <c r="L13" s="10" t="n">
        <v>46266</v>
      </c>
      <c r="M13" s="10" t="inlineStr">
        <is>
          <t>USR-04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3_1" sqref="D3:E30" password="A825"/>
    <protectedRange name="ROL-03_2" sqref="G3:I30" password="A825"/>
    <protectedRange name="ROL-03_3" sqref="K3:K30" password="A825"/>
  </protectedRanges>
  <conditionalFormatting sqref="J3:J13">
    <cfRule type="cellIs" priority="1" operator="greaterThan" dxfId="1">
      <formula>&gt;0</formula>
    </cfRule>
  </conditionalFormatting>
  <dataValidations count="5">
    <dataValidation sqref="D3:E53" showDropDown="0" showInputMessage="0" showErrorMessage="1" allowBlank="1" errorTitle="قفل گیت گردش کار" error="گیت ۱: زمان‌بندی فقط برای پروژه با سفارش آماده مجاز است. (وضعیت گیت‌ها: شیت Gate_Status)" promptTitle="قفل گیت گردش کار" prompt="گیت ۱: زمان‌بندی فقط برای پروژه با سفارش آماده مجاز است." type="custom">
      <formula1>=OR($B3="",IFERROR(INDEX(Gate_Status!$N$3:$N$20,MATCH($B3,Gate_Status!$B$3:$B$20,0)),0)=1)</formula1>
    </dataValidation>
    <dataValidation sqref="G3:H53" showDropDown="0" showInputMessage="0" showErrorMessage="1" allowBlank="1" errorTitle="قفل گیت گردش کار" error="گیت ۱: زمان‌بندی فقط برای پروژه با سفارش آماده مجاز است. (وضعیت گیت‌ها: شیت Gate_Status)" promptTitle="قفل گیت گردش کار" prompt="گیت ۱: زمان‌بندی فقط برای پروژه با سفارش آماده مجاز است." type="custom">
      <formula1>=OR($B3="",IFERROR(INDEX(Gate_Status!$N$3:$N$20,MATCH($B3,Gate_Status!$B$3:$B$20,0)),0)=1)</formula1>
    </dataValidation>
    <dataValidation sqref="K3:K53" showDropDown="0" showInputMessage="0" showErrorMessage="1" allowBlank="1" errorTitle="قفل گیت گردش کار" error="گیت ۱: زمان‌بندی فقط برای پروژه با سفارش آماده مجاز است. (وضعیت گیت‌ها: شیت Gate_Status)" promptTitle="قفل گیت گردش کار" prompt="گیت ۱: زمان‌بندی فقط برای پروژه با سفارش آماده مجاز است." type="custom">
      <formula1>=OR($B3="",IFERROR(INDEX(Gate_Status!$N$3:$N$20,MATCH($B3,Gate_Status!$B$3:$B$20,0)),0)=1)</formula1>
    </dataValidation>
    <dataValidation sqref="C3:C13" showDropDown="0" showInputMessage="0" showErrorMessage="1" allowBlank="1" errorTitle="Data Validation" error="مقدار خارج از فهرست مجاز است" promptTitle="Activity" prompt="انتخاب از فهرست مجاز برای Activity" type="list">
      <formula1>"Engineering,BOM Release,Procurement,Supplier Confirmation,Material Arrival,Production Planning,Production,QC,Packing,Delivery"</formula1>
    </dataValidation>
    <dataValidation sqref="I3:I13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ED7D31"/>
    <outlinePr summaryBelow="1" summaryRight="1"/>
    <pageSetUpPr/>
  </sheetPr>
  <dimension ref="A1:Q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3" customWidth="1" min="4" max="4"/>
    <col width="13" customWidth="1" min="5" max="5"/>
    <col width="20" customWidth="1" min="6" max="6"/>
    <col width="19" customWidth="1" min="7" max="7"/>
    <col width="12" customWidth="1" min="8" max="8"/>
    <col width="11" customWidth="1" min="9" max="9"/>
    <col width="11" customWidth="1" min="10" max="10"/>
    <col width="11" customWidth="1" min="11" max="11"/>
    <col width="12" customWidth="1" min="12" max="12"/>
    <col width="21" customWidth="1" min="13" max="13"/>
    <col width="15" customWidth="1" min="14" max="14"/>
    <col width="14" customWidth="1" min="15" max="15"/>
    <col width="14" customWidth="1" min="16" max="16"/>
    <col width="13" customWidth="1" min="17" max="17"/>
  </cols>
  <sheetData>
    <row r="1">
      <c r="A1" s="1" t="inlineStr">
        <is>
          <t>Engineering</t>
        </is>
      </c>
    </row>
    <row r="2">
      <c r="A2" s="4" t="inlineStr">
        <is>
          <t>System_ID</t>
        </is>
      </c>
      <c r="B2" s="4" t="inlineStr">
        <is>
          <t>Project_ID</t>
        </is>
      </c>
      <c r="C2" s="4" t="inlineStr">
        <is>
          <t>Product_ID</t>
        </is>
      </c>
      <c r="D2" s="4" t="inlineStr">
        <is>
          <t>Product_Revision_ID</t>
        </is>
      </c>
      <c r="E2" s="4" t="inlineStr">
        <is>
          <t>Drawing_No</t>
        </is>
      </c>
      <c r="F2" s="4" t="inlineStr">
        <is>
          <t>Drawing_Revision</t>
        </is>
      </c>
      <c r="G2" s="4" t="inlineStr">
        <is>
          <t>BOM_Revision_ID</t>
        </is>
      </c>
      <c r="H2" s="4" t="inlineStr">
        <is>
          <t>Status_ID</t>
        </is>
      </c>
      <c r="I2" s="4" t="inlineStr">
        <is>
          <t>Process</t>
        </is>
      </c>
      <c r="J2" s="4" t="inlineStr">
        <is>
          <t>Machine</t>
        </is>
      </c>
      <c r="K2" s="4" t="inlineStr">
        <is>
          <t>Tooling</t>
        </is>
      </c>
      <c r="L2" s="4" t="inlineStr">
        <is>
          <t>Packaging</t>
        </is>
      </c>
      <c r="M2" s="4" t="inlineStr">
        <is>
          <t>Engineering_Notes</t>
        </is>
      </c>
      <c r="N2" s="4" t="inlineStr">
        <is>
          <t>Submitted_By</t>
        </is>
      </c>
      <c r="O2" s="4" t="inlineStr">
        <is>
          <t>Approved_By</t>
        </is>
      </c>
      <c r="P2" s="4" t="inlineStr">
        <is>
          <t>Create_Date</t>
        </is>
      </c>
      <c r="Q2" s="4" t="inlineStr">
        <is>
          <t>Created_By</t>
        </is>
      </c>
    </row>
    <row r="3">
      <c r="A3" s="2" t="inlineStr">
        <is>
          <t>ENG-000125</t>
        </is>
      </c>
      <c r="B3" s="2" t="inlineStr">
        <is>
          <t>PRJ-2026-00125</t>
        </is>
      </c>
      <c r="C3" s="2" t="inlineStr">
        <is>
          <t>PRD-000125</t>
        </is>
      </c>
      <c r="D3" s="2" t="inlineStr">
        <is>
          <t>PRV-000125-R03</t>
        </is>
      </c>
      <c r="E3" s="2" t="inlineStr">
        <is>
          <t>DRW-250-A</t>
        </is>
      </c>
      <c r="F3" s="2" t="inlineStr">
        <is>
          <t>Rev C</t>
        </is>
      </c>
      <c r="G3" s="2" t="inlineStr">
        <is>
          <t>BOM-000215-R05</t>
        </is>
      </c>
      <c r="H3" s="2" t="inlineStr">
        <is>
          <t>Approved</t>
        </is>
      </c>
      <c r="I3" s="2" t="inlineStr">
        <is>
          <t>Machining + Assembly</t>
        </is>
      </c>
      <c r="J3" s="2" t="inlineStr">
        <is>
          <t>CNC-5Axis</t>
        </is>
      </c>
      <c r="K3" s="2" t="inlineStr">
        <is>
          <t>Fixture-250</t>
        </is>
      </c>
      <c r="L3" s="2" t="inlineStr">
        <is>
          <t>ISPM-15</t>
        </is>
      </c>
      <c r="M3" s="2" t="inlineStr">
        <is>
          <t>مطابق نقشه DRW</t>
        </is>
      </c>
      <c r="N3" s="2" t="inlineStr">
        <is>
          <t>USR-04</t>
        </is>
      </c>
      <c r="O3" s="2" t="inlineStr">
        <is>
          <t>USR-04</t>
        </is>
      </c>
      <c r="P3" s="10" t="n">
        <v>46290</v>
      </c>
      <c r="Q3" s="10" t="inlineStr">
        <is>
          <t>USR-04</t>
        </is>
      </c>
    </row>
    <row r="4">
      <c r="A4" s="7" t="inlineStr">
        <is>
          <t>ENG-000126</t>
        </is>
      </c>
      <c r="B4" s="7" t="inlineStr">
        <is>
          <t>PRJ-2026-00125</t>
        </is>
      </c>
      <c r="C4" s="7" t="inlineStr">
        <is>
          <t>PRD-000126</t>
        </is>
      </c>
      <c r="D4" s="7" t="inlineStr">
        <is>
          <t>PRV-000126-R02</t>
        </is>
      </c>
      <c r="E4" s="7" t="inlineStr">
        <is>
          <t>DRW-150-B</t>
        </is>
      </c>
      <c r="F4" s="7" t="inlineStr">
        <is>
          <t>Rev B</t>
        </is>
      </c>
      <c r="G4" s="7" t="inlineStr">
        <is>
          <t>BOM-000216-R02</t>
        </is>
      </c>
      <c r="H4" s="7" t="inlineStr">
        <is>
          <t>Approved</t>
        </is>
      </c>
      <c r="I4" s="7" t="inlineStr">
        <is>
          <t>Machining + Assembly</t>
        </is>
      </c>
      <c r="J4" s="7" t="inlineStr">
        <is>
          <t>CNC-5Axis</t>
        </is>
      </c>
      <c r="K4" s="7" t="inlineStr">
        <is>
          <t>Fixture-250</t>
        </is>
      </c>
      <c r="L4" s="7" t="inlineStr">
        <is>
          <t>ISPM-15</t>
        </is>
      </c>
      <c r="M4" s="7" t="inlineStr">
        <is>
          <t>مطابق نقشه DRW</t>
        </is>
      </c>
      <c r="N4" s="7" t="inlineStr">
        <is>
          <t>USR-04</t>
        </is>
      </c>
      <c r="O4" s="7" t="inlineStr">
        <is>
          <t>USR-04</t>
        </is>
      </c>
      <c r="P4" s="13" t="n">
        <v>46290</v>
      </c>
      <c r="Q4" s="13" t="inlineStr">
        <is>
          <t>USR-04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4_1" sqref="B3:M20" password="E2F4"/>
  </protectedRanges>
  <dataValidations count="2">
    <dataValidation sqref="B3:M44" showDropDown="0" showInputMessage="0" showErrorMessage="1" allowBlank="1" errorTitle="قفل گیت گردش کار" error="گیت ۲: ابتدا امکان‌سنجی پروژه باید توسط مدیر پروژه تکمیل شده باشد. (وضعیت گیت‌ها: شیت Gate_Status)" promptTitle="قفل گیت گردش کار" prompt="گیت ۲: ابتدا امکان‌سنجی پروژه باید توسط مدیر پروژه تکمیل شده باشد." type="custom">
      <formula1>=OR($B3="",IFERROR(INDEX(Gate_Status!$O$3:$O$20,MATCH($B3,Gate_Status!$B$3:$B$20,0)),0)=1)</formula1>
    </dataValidation>
    <dataValidation sqref="H3:H4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ED7D31"/>
    <outlinePr summaryBelow="1" summaryRight="1"/>
    <pageSetUpPr/>
  </sheetPr>
  <dimension ref="A1:L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3" customWidth="1" min="3" max="3"/>
    <col width="14" customWidth="1" min="4" max="4"/>
    <col width="11" customWidth="1" min="5" max="5"/>
    <col width="16" customWidth="1" min="6" max="6"/>
    <col width="13" customWidth="1" min="7" max="7"/>
    <col width="14" customWidth="1" min="8" max="8"/>
    <col width="12" customWidth="1" min="9" max="9"/>
    <col width="12" customWidth="1" min="10" max="10"/>
    <col width="14" customWidth="1" min="11" max="11"/>
    <col width="13" customWidth="1" min="12" max="12"/>
  </cols>
  <sheetData>
    <row r="1">
      <c r="A1" s="1" t="inlineStr">
        <is>
          <t>BOM_Header</t>
        </is>
      </c>
      <c r="B1" s="3" t="inlineStr">
        <is>
          <t>نسخه‌بندی BOM؛ نسخه قبلی هرگز Overwrite نمی‌شود (Is_Active=0 / Status=Superseded).</t>
        </is>
      </c>
    </row>
    <row r="2">
      <c r="A2" s="4" t="inlineStr">
        <is>
          <t>System_ID</t>
        </is>
      </c>
      <c r="B2" s="4" t="inlineStr">
        <is>
          <t>BOM_ID</t>
        </is>
      </c>
      <c r="C2" s="4" t="inlineStr">
        <is>
          <t>Product_Revision_ID</t>
        </is>
      </c>
      <c r="D2" s="4" t="inlineStr">
        <is>
          <t>Revision_No</t>
        </is>
      </c>
      <c r="E2" s="4" t="inlineStr">
        <is>
          <t>Rev_Date</t>
        </is>
      </c>
      <c r="F2" s="4" t="inlineStr">
        <is>
          <t>Change_Reason</t>
        </is>
      </c>
      <c r="G2" s="4" t="inlineStr">
        <is>
          <t>Changed_By</t>
        </is>
      </c>
      <c r="H2" s="4" t="inlineStr">
        <is>
          <t>Approved_By</t>
        </is>
      </c>
      <c r="I2" s="4" t="inlineStr">
        <is>
          <t>Status_ID</t>
        </is>
      </c>
      <c r="J2" s="4" t="inlineStr">
        <is>
          <t>Is_Active</t>
        </is>
      </c>
      <c r="K2" s="4" t="inlineStr">
        <is>
          <t>Create_Date</t>
        </is>
      </c>
      <c r="L2" s="4" t="inlineStr">
        <is>
          <t>Created_By</t>
        </is>
      </c>
    </row>
    <row r="3">
      <c r="A3" s="2" t="inlineStr">
        <is>
          <t>BOM-000215-R05</t>
        </is>
      </c>
      <c r="B3" s="2" t="inlineStr">
        <is>
          <t>BOM-000215</t>
        </is>
      </c>
      <c r="C3" s="2" t="inlineStr">
        <is>
          <t>PRV-000125-R03</t>
        </is>
      </c>
      <c r="D3" s="2" t="inlineStr">
        <is>
          <t>R05</t>
        </is>
      </c>
      <c r="E3" s="10" t="n">
        <v>46293</v>
      </c>
      <c r="F3" s="2" t="inlineStr">
        <is>
          <t>تغییر تأمین‌کننده مکانیکال سیل و افزودن شفت</t>
        </is>
      </c>
      <c r="G3" s="2" t="inlineStr">
        <is>
          <t>USR-04</t>
        </is>
      </c>
      <c r="H3" s="2" t="inlineStr">
        <is>
          <t>USR-04</t>
        </is>
      </c>
      <c r="I3" s="2" t="inlineStr">
        <is>
          <t>Approved</t>
        </is>
      </c>
      <c r="J3" s="2" t="n">
        <v>1</v>
      </c>
      <c r="K3" s="10" t="n">
        <v>46293</v>
      </c>
      <c r="L3" s="10" t="inlineStr">
        <is>
          <t>USR-04</t>
        </is>
      </c>
    </row>
    <row r="4">
      <c r="A4" s="7" t="inlineStr">
        <is>
          <t>BOM-000215-R04</t>
        </is>
      </c>
      <c r="B4" s="7" t="inlineStr">
        <is>
          <t>BOM-000215</t>
        </is>
      </c>
      <c r="C4" s="7" t="inlineStr">
        <is>
          <t>PRV-000125-R03</t>
        </is>
      </c>
      <c r="D4" s="7" t="inlineStr">
        <is>
          <t>R04</t>
        </is>
      </c>
      <c r="E4" s="13" t="n">
        <v>46235</v>
      </c>
      <c r="F4" s="7" t="inlineStr">
        <is>
          <t>نسخه قبلی (نگهداری برای Audit — بدون Overwrite)</t>
        </is>
      </c>
      <c r="G4" s="7" t="inlineStr">
        <is>
          <t>USR-04</t>
        </is>
      </c>
      <c r="H4" s="7" t="inlineStr">
        <is>
          <t>USR-04</t>
        </is>
      </c>
      <c r="I4" s="7" t="inlineStr">
        <is>
          <t>Superseded</t>
        </is>
      </c>
      <c r="J4" s="7" t="n">
        <v>0</v>
      </c>
      <c r="K4" s="13" t="n">
        <v>46235</v>
      </c>
      <c r="L4" s="13" t="inlineStr">
        <is>
          <t>USR-04</t>
        </is>
      </c>
    </row>
    <row r="5">
      <c r="A5" s="2" t="inlineStr">
        <is>
          <t>BOM-000216-R02</t>
        </is>
      </c>
      <c r="B5" s="2" t="inlineStr">
        <is>
          <t>BOM-000216</t>
        </is>
      </c>
      <c r="C5" s="2" t="inlineStr">
        <is>
          <t>PRV-000126-R02</t>
        </is>
      </c>
      <c r="D5" s="2" t="inlineStr">
        <is>
          <t>R02</t>
        </is>
      </c>
      <c r="E5" s="10" t="n">
        <v>46178</v>
      </c>
      <c r="F5" s="2" t="inlineStr">
        <is>
          <t>نسخه اولیه</t>
        </is>
      </c>
      <c r="G5" s="2" t="inlineStr">
        <is>
          <t>USR-04</t>
        </is>
      </c>
      <c r="H5" s="2" t="inlineStr">
        <is>
          <t>USR-04</t>
        </is>
      </c>
      <c r="I5" s="2" t="inlineStr">
        <is>
          <t>Approved</t>
        </is>
      </c>
      <c r="J5" s="2" t="n">
        <v>1</v>
      </c>
      <c r="K5" s="10" t="n">
        <v>46178</v>
      </c>
      <c r="L5" s="10" t="inlineStr">
        <is>
          <t>USR-04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4_1" sqref="C3:J20" password="E2F4"/>
  </protectedRanges>
  <dataValidations count="2">
    <dataValidation sqref="C3:J45" showDropDown="0" showInputMessage="0" showErrorMessage="1" allowBlank="1" errorTitle="قفل گیت گردش کار" error="گیت ۲: صدور BOM فقط وقتی حداقل یک پروژه به مرحله مهندسی مجاز رسیده باشد. (وضعیت گیت‌ها: شیت Gate_Status)" promptTitle="قفل گیت گردش کار" prompt="گیت ۲: صدور BOM فقط وقتی حداقل یک پروژه به مرحله مهندسی مجاز رسیده باشد." type="custom">
      <formula1>=Gate_Status!$AA$1=1</formula1>
    </dataValidation>
    <dataValidation sqref="I3:I5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ED7D31"/>
    <outlinePr summaryBelow="1" summaryRight="1"/>
    <pageSetUpPr/>
  </sheetPr>
  <dimension ref="A1:O2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1" customWidth="1" min="4" max="4"/>
    <col width="14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21" customWidth="1" min="13" max="13"/>
    <col width="14" customWidth="1" min="14" max="14"/>
    <col width="13" customWidth="1" min="15" max="15"/>
  </cols>
  <sheetData>
    <row r="1">
      <c r="A1" s="1" t="inlineStr">
        <is>
          <t>BOM_Detail</t>
        </is>
      </c>
      <c r="B1" s="3" t="inlineStr">
        <is>
          <t>BOM چندسطحی (Parent_BOM_Line_ID / Level_No / Sequence_No). Gross_Qty = Qty_Per × (1 + Scrap%).</t>
        </is>
      </c>
    </row>
    <row r="2">
      <c r="A2" s="4" t="inlineStr">
        <is>
          <t>System_ID</t>
        </is>
      </c>
      <c r="B2" s="4" t="inlineStr">
        <is>
          <t>BOM_Revision_ID</t>
        </is>
      </c>
      <c r="C2" s="4" t="inlineStr">
        <is>
          <t>Parent_BOM_Line_ID</t>
        </is>
      </c>
      <c r="D2" s="4" t="inlineStr">
        <is>
          <t>Level_No</t>
        </is>
      </c>
      <c r="E2" s="4" t="inlineStr">
        <is>
          <t>Sequence_No</t>
        </is>
      </c>
      <c r="F2" s="4" t="inlineStr">
        <is>
          <t>Material_ID</t>
        </is>
      </c>
      <c r="G2" s="4" t="inlineStr">
        <is>
          <t>Qty_Per</t>
        </is>
      </c>
      <c r="H2" s="4" t="inlineStr">
        <is>
          <t>UoM</t>
        </is>
      </c>
      <c r="I2" s="4" t="inlineStr">
        <is>
          <t>Scrap_%</t>
        </is>
      </c>
      <c r="J2" s="4" t="inlineStr">
        <is>
          <t>Net_Qty</t>
        </is>
      </c>
      <c r="K2" s="4" t="inlineStr">
        <is>
          <t>Gross_Qty</t>
        </is>
      </c>
      <c r="L2" s="4" t="inlineStr">
        <is>
          <t>Make_Buy</t>
        </is>
      </c>
      <c r="M2" s="4" t="inlineStr">
        <is>
          <t>Approved_Supplier</t>
        </is>
      </c>
      <c r="N2" s="4" t="inlineStr">
        <is>
          <t>Create_Date</t>
        </is>
      </c>
      <c r="O2" s="4" t="inlineStr">
        <is>
          <t>Created_By</t>
        </is>
      </c>
    </row>
    <row r="3">
      <c r="A3" s="2" t="inlineStr">
        <is>
          <t>BLI-000987</t>
        </is>
      </c>
      <c r="B3" s="2" t="inlineStr">
        <is>
          <t>BOM-000215-R05</t>
        </is>
      </c>
      <c r="C3" s="2" t="inlineStr"/>
      <c r="D3" s="12" t="n">
        <v>0</v>
      </c>
      <c r="E3" s="12" t="n">
        <v>10</v>
      </c>
      <c r="F3" s="2" t="inlineStr">
        <is>
          <t>PRD-000125</t>
        </is>
      </c>
      <c r="G3" s="12" t="n">
        <v>1</v>
      </c>
      <c r="H3" s="2" t="inlineStr">
        <is>
          <t>pcs</t>
        </is>
      </c>
      <c r="I3" s="6" t="n">
        <v>0</v>
      </c>
      <c r="J3" s="12">
        <f>$G3</f>
        <v/>
      </c>
      <c r="K3" s="12">
        <f>ROUND($G3*(1+$I3),3)</f>
        <v/>
      </c>
      <c r="L3" s="2" t="inlineStr">
        <is>
          <t>Make</t>
        </is>
      </c>
      <c r="M3" s="2" t="inlineStr"/>
      <c r="N3" s="10" t="n">
        <v>46293</v>
      </c>
      <c r="O3" s="10" t="inlineStr">
        <is>
          <t>USR-04</t>
        </is>
      </c>
    </row>
    <row r="4">
      <c r="A4" s="7" t="inlineStr">
        <is>
          <t>BLI-000988</t>
        </is>
      </c>
      <c r="B4" s="7" t="inlineStr">
        <is>
          <t>BOM-000215-R05</t>
        </is>
      </c>
      <c r="C4" s="7" t="inlineStr">
        <is>
          <t>BLI-000987</t>
        </is>
      </c>
      <c r="D4" s="15" t="n">
        <v>1</v>
      </c>
      <c r="E4" s="15" t="n">
        <v>20</v>
      </c>
      <c r="F4" s="7" t="inlineStr">
        <is>
          <t>MAT-001542</t>
        </is>
      </c>
      <c r="G4" s="15" t="n">
        <v>180</v>
      </c>
      <c r="H4" s="7" t="inlineStr">
        <is>
          <t>kg</t>
        </is>
      </c>
      <c r="I4" s="9" t="n">
        <v>0.05</v>
      </c>
      <c r="J4" s="15">
        <f>$G4</f>
        <v/>
      </c>
      <c r="K4" s="15">
        <f>ROUND($G4*(1+$I4),3)</f>
        <v/>
      </c>
      <c r="L4" s="7" t="inlineStr">
        <is>
          <t>Make</t>
        </is>
      </c>
      <c r="M4" s="7" t="inlineStr"/>
      <c r="N4" s="13" t="n">
        <v>46293</v>
      </c>
      <c r="O4" s="13" t="inlineStr">
        <is>
          <t>USR-04</t>
        </is>
      </c>
    </row>
    <row r="5">
      <c r="A5" s="2" t="inlineStr">
        <is>
          <t>BLI-000989</t>
        </is>
      </c>
      <c r="B5" s="2" t="inlineStr">
        <is>
          <t>BOM-000215-R05</t>
        </is>
      </c>
      <c r="C5" s="2" t="inlineStr">
        <is>
          <t>BLI-000987</t>
        </is>
      </c>
      <c r="D5" s="12" t="n">
        <v>1</v>
      </c>
      <c r="E5" s="12" t="n">
        <v>30</v>
      </c>
      <c r="F5" s="2" t="inlineStr">
        <is>
          <t>MAT-001543</t>
        </is>
      </c>
      <c r="G5" s="12" t="n">
        <v>55</v>
      </c>
      <c r="H5" s="2" t="inlineStr">
        <is>
          <t>kg</t>
        </is>
      </c>
      <c r="I5" s="6" t="n">
        <v>0.05</v>
      </c>
      <c r="J5" s="12">
        <f>$G5</f>
        <v/>
      </c>
      <c r="K5" s="12">
        <f>ROUND($G5*(1+$I5),3)</f>
        <v/>
      </c>
      <c r="L5" s="2" t="inlineStr">
        <is>
          <t>Make</t>
        </is>
      </c>
      <c r="M5" s="2" t="inlineStr"/>
      <c r="N5" s="10" t="n">
        <v>46293</v>
      </c>
      <c r="O5" s="10" t="inlineStr">
        <is>
          <t>USR-04</t>
        </is>
      </c>
    </row>
    <row r="6">
      <c r="A6" s="7" t="inlineStr">
        <is>
          <t>BLI-000990</t>
        </is>
      </c>
      <c r="B6" s="7" t="inlineStr">
        <is>
          <t>BOM-000215-R05</t>
        </is>
      </c>
      <c r="C6" s="7" t="inlineStr">
        <is>
          <t>BLI-000987</t>
        </is>
      </c>
      <c r="D6" s="15" t="n">
        <v>1</v>
      </c>
      <c r="E6" s="15" t="n">
        <v>40</v>
      </c>
      <c r="F6" s="7" t="inlineStr">
        <is>
          <t>MAT-001547</t>
        </is>
      </c>
      <c r="G6" s="15" t="n">
        <v>22</v>
      </c>
      <c r="H6" s="7" t="inlineStr">
        <is>
          <t>kg</t>
        </is>
      </c>
      <c r="I6" s="9" t="n">
        <v>0.05</v>
      </c>
      <c r="J6" s="15">
        <f>$G6</f>
        <v/>
      </c>
      <c r="K6" s="15">
        <f>ROUND($G6*(1+$I6),3)</f>
        <v/>
      </c>
      <c r="L6" s="7" t="inlineStr">
        <is>
          <t>Make</t>
        </is>
      </c>
      <c r="M6" s="7" t="inlineStr"/>
      <c r="N6" s="13" t="n">
        <v>46293</v>
      </c>
      <c r="O6" s="13" t="inlineStr">
        <is>
          <t>USR-04</t>
        </is>
      </c>
    </row>
    <row r="7">
      <c r="A7" s="2" t="inlineStr">
        <is>
          <t>BLI-000991</t>
        </is>
      </c>
      <c r="B7" s="2" t="inlineStr">
        <is>
          <t>BOM-000215-R05</t>
        </is>
      </c>
      <c r="C7" s="2" t="inlineStr">
        <is>
          <t>BLI-000987</t>
        </is>
      </c>
      <c r="D7" s="12" t="n">
        <v>1</v>
      </c>
      <c r="E7" s="12" t="n">
        <v>50</v>
      </c>
      <c r="F7" s="2" t="inlineStr">
        <is>
          <t>MAT-001544</t>
        </is>
      </c>
      <c r="G7" s="12" t="n">
        <v>1</v>
      </c>
      <c r="H7" s="2" t="inlineStr">
        <is>
          <t>pcs</t>
        </is>
      </c>
      <c r="I7" s="6" t="n">
        <v>0</v>
      </c>
      <c r="J7" s="12">
        <f>$G7</f>
        <v/>
      </c>
      <c r="K7" s="12">
        <f>ROUND($G7*(1+$I7),3)</f>
        <v/>
      </c>
      <c r="L7" s="2" t="inlineStr">
        <is>
          <t>Buy</t>
        </is>
      </c>
      <c r="M7" s="2" t="inlineStr">
        <is>
          <t>SUP-000089</t>
        </is>
      </c>
      <c r="N7" s="10" t="n">
        <v>46293</v>
      </c>
      <c r="O7" s="10" t="inlineStr">
        <is>
          <t>USR-04</t>
        </is>
      </c>
    </row>
    <row r="8">
      <c r="A8" s="7" t="inlineStr">
        <is>
          <t>BLI-000992</t>
        </is>
      </c>
      <c r="B8" s="7" t="inlineStr">
        <is>
          <t>BOM-000215-R05</t>
        </is>
      </c>
      <c r="C8" s="7" t="inlineStr">
        <is>
          <t>BLI-000987</t>
        </is>
      </c>
      <c r="D8" s="15" t="n">
        <v>1</v>
      </c>
      <c r="E8" s="15" t="n">
        <v>60</v>
      </c>
      <c r="F8" s="7" t="inlineStr">
        <is>
          <t>MAT-001545</t>
        </is>
      </c>
      <c r="G8" s="15" t="n">
        <v>1</v>
      </c>
      <c r="H8" s="7" t="inlineStr">
        <is>
          <t>pcs</t>
        </is>
      </c>
      <c r="I8" s="9" t="n">
        <v>0</v>
      </c>
      <c r="J8" s="15">
        <f>$G8</f>
        <v/>
      </c>
      <c r="K8" s="15">
        <f>ROUND($G8*(1+$I8),3)</f>
        <v/>
      </c>
      <c r="L8" s="7" t="inlineStr">
        <is>
          <t>Buy</t>
        </is>
      </c>
      <c r="M8" s="7" t="inlineStr">
        <is>
          <t>SUP-000088</t>
        </is>
      </c>
      <c r="N8" s="13" t="n">
        <v>46293</v>
      </c>
      <c r="O8" s="13" t="inlineStr">
        <is>
          <t>USR-04</t>
        </is>
      </c>
    </row>
    <row r="9">
      <c r="A9" s="2" t="inlineStr">
        <is>
          <t>BLI-000993</t>
        </is>
      </c>
      <c r="B9" s="2" t="inlineStr">
        <is>
          <t>BOM-000215-R05</t>
        </is>
      </c>
      <c r="C9" s="2" t="inlineStr">
        <is>
          <t>BLI-000987</t>
        </is>
      </c>
      <c r="D9" s="12" t="n">
        <v>1</v>
      </c>
      <c r="E9" s="12" t="n">
        <v>70</v>
      </c>
      <c r="F9" s="2" t="inlineStr">
        <is>
          <t>MAT-001546</t>
        </is>
      </c>
      <c r="G9" s="12" t="n">
        <v>1</v>
      </c>
      <c r="H9" s="2" t="inlineStr">
        <is>
          <t>pcs</t>
        </is>
      </c>
      <c r="I9" s="6" t="n">
        <v>0</v>
      </c>
      <c r="J9" s="12">
        <f>$G9</f>
        <v/>
      </c>
      <c r="K9" s="12">
        <f>ROUND($G9*(1+$I9),3)</f>
        <v/>
      </c>
      <c r="L9" s="2" t="inlineStr">
        <is>
          <t>Buy</t>
        </is>
      </c>
      <c r="M9" s="2" t="inlineStr">
        <is>
          <t>SUP-000087</t>
        </is>
      </c>
      <c r="N9" s="10" t="n">
        <v>46293</v>
      </c>
      <c r="O9" s="10" t="inlineStr">
        <is>
          <t>USR-04</t>
        </is>
      </c>
    </row>
    <row r="10">
      <c r="A10" s="7" t="inlineStr">
        <is>
          <t>BLI-000994</t>
        </is>
      </c>
      <c r="B10" s="7" t="inlineStr">
        <is>
          <t>BOM-000215-R05</t>
        </is>
      </c>
      <c r="C10" s="7" t="inlineStr">
        <is>
          <t>BLI-000987</t>
        </is>
      </c>
      <c r="D10" s="15" t="n">
        <v>1</v>
      </c>
      <c r="E10" s="15" t="n">
        <v>80</v>
      </c>
      <c r="F10" s="7" t="inlineStr">
        <is>
          <t>MAT-001548</t>
        </is>
      </c>
      <c r="G10" s="15" t="n">
        <v>1</v>
      </c>
      <c r="H10" s="7" t="inlineStr">
        <is>
          <t>pcs</t>
        </is>
      </c>
      <c r="I10" s="9" t="n">
        <v>0</v>
      </c>
      <c r="J10" s="15">
        <f>$G10</f>
        <v/>
      </c>
      <c r="K10" s="15">
        <f>ROUND($G10*(1+$I10),3)</f>
        <v/>
      </c>
      <c r="L10" s="7" t="inlineStr">
        <is>
          <t>Buy</t>
        </is>
      </c>
      <c r="M10" s="7" t="inlineStr">
        <is>
          <t>SUP-000086</t>
        </is>
      </c>
      <c r="N10" s="13" t="n">
        <v>46293</v>
      </c>
      <c r="O10" s="13" t="inlineStr">
        <is>
          <t>USR-04</t>
        </is>
      </c>
    </row>
    <row r="11">
      <c r="A11" s="2" t="inlineStr">
        <is>
          <t>BLI-000950</t>
        </is>
      </c>
      <c r="B11" s="2" t="inlineStr">
        <is>
          <t>BOM-000215-R04</t>
        </is>
      </c>
      <c r="C11" s="2" t="inlineStr"/>
      <c r="D11" s="12" t="n">
        <v>0</v>
      </c>
      <c r="E11" s="12" t="n">
        <v>10</v>
      </c>
      <c r="F11" s="2" t="inlineStr">
        <is>
          <t>PRD-000125</t>
        </is>
      </c>
      <c r="G11" s="12" t="n">
        <v>1</v>
      </c>
      <c r="H11" s="2" t="inlineStr">
        <is>
          <t>pcs</t>
        </is>
      </c>
      <c r="I11" s="6" t="n">
        <v>0</v>
      </c>
      <c r="J11" s="12">
        <f>$G11</f>
        <v/>
      </c>
      <c r="K11" s="12">
        <f>ROUND($G11*(1+$I11),3)</f>
        <v/>
      </c>
      <c r="L11" s="2" t="inlineStr">
        <is>
          <t>Make</t>
        </is>
      </c>
      <c r="M11" s="2" t="inlineStr"/>
      <c r="N11" s="10" t="n">
        <v>46293</v>
      </c>
      <c r="O11" s="10" t="inlineStr">
        <is>
          <t>USR-04</t>
        </is>
      </c>
    </row>
    <row r="12">
      <c r="A12" s="7" t="inlineStr">
        <is>
          <t>BLI-000951</t>
        </is>
      </c>
      <c r="B12" s="7" t="inlineStr">
        <is>
          <t>BOM-000215-R04</t>
        </is>
      </c>
      <c r="C12" s="7" t="inlineStr">
        <is>
          <t>BLI-000950</t>
        </is>
      </c>
      <c r="D12" s="15" t="n">
        <v>1</v>
      </c>
      <c r="E12" s="15" t="n">
        <v>20</v>
      </c>
      <c r="F12" s="7" t="inlineStr">
        <is>
          <t>MAT-001542</t>
        </is>
      </c>
      <c r="G12" s="15" t="n">
        <v>180</v>
      </c>
      <c r="H12" s="7" t="inlineStr">
        <is>
          <t>kg</t>
        </is>
      </c>
      <c r="I12" s="9" t="n">
        <v>0.05</v>
      </c>
      <c r="J12" s="15">
        <f>$G12</f>
        <v/>
      </c>
      <c r="K12" s="15">
        <f>ROUND($G12*(1+$I12),3)</f>
        <v/>
      </c>
      <c r="L12" s="7" t="inlineStr">
        <is>
          <t>Make</t>
        </is>
      </c>
      <c r="M12" s="7" t="inlineStr"/>
      <c r="N12" s="13" t="n">
        <v>46293</v>
      </c>
      <c r="O12" s="13" t="inlineStr">
        <is>
          <t>USR-04</t>
        </is>
      </c>
    </row>
    <row r="13">
      <c r="A13" s="2" t="inlineStr">
        <is>
          <t>BLI-000952</t>
        </is>
      </c>
      <c r="B13" s="2" t="inlineStr">
        <is>
          <t>BOM-000215-R04</t>
        </is>
      </c>
      <c r="C13" s="2" t="inlineStr">
        <is>
          <t>BLI-000950</t>
        </is>
      </c>
      <c r="D13" s="12" t="n">
        <v>1</v>
      </c>
      <c r="E13" s="12" t="n">
        <v>30</v>
      </c>
      <c r="F13" s="2" t="inlineStr">
        <is>
          <t>MAT-001543</t>
        </is>
      </c>
      <c r="G13" s="12" t="n">
        <v>55</v>
      </c>
      <c r="H13" s="2" t="inlineStr">
        <is>
          <t>kg</t>
        </is>
      </c>
      <c r="I13" s="6" t="n">
        <v>0.05</v>
      </c>
      <c r="J13" s="12">
        <f>$G13</f>
        <v/>
      </c>
      <c r="K13" s="12">
        <f>ROUND($G13*(1+$I13),3)</f>
        <v/>
      </c>
      <c r="L13" s="2" t="inlineStr">
        <is>
          <t>Make</t>
        </is>
      </c>
      <c r="M13" s="2" t="inlineStr"/>
      <c r="N13" s="10" t="n">
        <v>46293</v>
      </c>
      <c r="O13" s="10" t="inlineStr">
        <is>
          <t>USR-04</t>
        </is>
      </c>
    </row>
    <row r="14">
      <c r="A14" s="7" t="inlineStr">
        <is>
          <t>BLI-000953</t>
        </is>
      </c>
      <c r="B14" s="7" t="inlineStr">
        <is>
          <t>BOM-000215-R04</t>
        </is>
      </c>
      <c r="C14" s="7" t="inlineStr">
        <is>
          <t>BLI-000950</t>
        </is>
      </c>
      <c r="D14" s="15" t="n">
        <v>1</v>
      </c>
      <c r="E14" s="15" t="n">
        <v>40</v>
      </c>
      <c r="F14" s="7" t="inlineStr">
        <is>
          <t>MAT-001547</t>
        </is>
      </c>
      <c r="G14" s="15" t="n">
        <v>22</v>
      </c>
      <c r="H14" s="7" t="inlineStr">
        <is>
          <t>kg</t>
        </is>
      </c>
      <c r="I14" s="9" t="n">
        <v>0.05</v>
      </c>
      <c r="J14" s="15">
        <f>$G14</f>
        <v/>
      </c>
      <c r="K14" s="15">
        <f>ROUND($G14*(1+$I14),3)</f>
        <v/>
      </c>
      <c r="L14" s="7" t="inlineStr">
        <is>
          <t>Make</t>
        </is>
      </c>
      <c r="M14" s="7" t="inlineStr"/>
      <c r="N14" s="13" t="n">
        <v>46293</v>
      </c>
      <c r="O14" s="13" t="inlineStr">
        <is>
          <t>USR-04</t>
        </is>
      </c>
    </row>
    <row r="15">
      <c r="A15" s="2" t="inlineStr">
        <is>
          <t>BLI-000954</t>
        </is>
      </c>
      <c r="B15" s="2" t="inlineStr">
        <is>
          <t>BOM-000215-R04</t>
        </is>
      </c>
      <c r="C15" s="2" t="inlineStr">
        <is>
          <t>BLI-000950</t>
        </is>
      </c>
      <c r="D15" s="12" t="n">
        <v>1</v>
      </c>
      <c r="E15" s="12" t="n">
        <v>50</v>
      </c>
      <c r="F15" s="2" t="inlineStr">
        <is>
          <t>MAT-001544</t>
        </is>
      </c>
      <c r="G15" s="12" t="n">
        <v>1</v>
      </c>
      <c r="H15" s="2" t="inlineStr">
        <is>
          <t>pcs</t>
        </is>
      </c>
      <c r="I15" s="6" t="n">
        <v>0</v>
      </c>
      <c r="J15" s="12">
        <f>$G15</f>
        <v/>
      </c>
      <c r="K15" s="12">
        <f>ROUND($G15*(1+$I15),3)</f>
        <v/>
      </c>
      <c r="L15" s="2" t="inlineStr">
        <is>
          <t>Buy</t>
        </is>
      </c>
      <c r="M15" s="2" t="inlineStr">
        <is>
          <t>SUP-000089</t>
        </is>
      </c>
      <c r="N15" s="10" t="n">
        <v>46293</v>
      </c>
      <c r="O15" s="10" t="inlineStr">
        <is>
          <t>USR-04</t>
        </is>
      </c>
    </row>
    <row r="16">
      <c r="A16" s="7" t="inlineStr">
        <is>
          <t>BLI-000955</t>
        </is>
      </c>
      <c r="B16" s="7" t="inlineStr">
        <is>
          <t>BOM-000215-R04</t>
        </is>
      </c>
      <c r="C16" s="7" t="inlineStr">
        <is>
          <t>BLI-000950</t>
        </is>
      </c>
      <c r="D16" s="15" t="n">
        <v>1</v>
      </c>
      <c r="E16" s="15" t="n">
        <v>60</v>
      </c>
      <c r="F16" s="7" t="inlineStr">
        <is>
          <t>MAT-001545</t>
        </is>
      </c>
      <c r="G16" s="15" t="n">
        <v>1</v>
      </c>
      <c r="H16" s="7" t="inlineStr">
        <is>
          <t>pcs</t>
        </is>
      </c>
      <c r="I16" s="9" t="n">
        <v>0</v>
      </c>
      <c r="J16" s="15">
        <f>$G16</f>
        <v/>
      </c>
      <c r="K16" s="15">
        <f>ROUND($G16*(1+$I16),3)</f>
        <v/>
      </c>
      <c r="L16" s="7" t="inlineStr">
        <is>
          <t>Buy</t>
        </is>
      </c>
      <c r="M16" s="7" t="inlineStr">
        <is>
          <t>SUP-000088</t>
        </is>
      </c>
      <c r="N16" s="13" t="n">
        <v>46293</v>
      </c>
      <c r="O16" s="13" t="inlineStr">
        <is>
          <t>USR-04</t>
        </is>
      </c>
    </row>
    <row r="17">
      <c r="A17" s="2" t="inlineStr">
        <is>
          <t>BLI-000956</t>
        </is>
      </c>
      <c r="B17" s="2" t="inlineStr">
        <is>
          <t>BOM-000215-R04</t>
        </is>
      </c>
      <c r="C17" s="2" t="inlineStr">
        <is>
          <t>BLI-000950</t>
        </is>
      </c>
      <c r="D17" s="12" t="n">
        <v>1</v>
      </c>
      <c r="E17" s="12" t="n">
        <v>70</v>
      </c>
      <c r="F17" s="2" t="inlineStr">
        <is>
          <t>MAT-001546</t>
        </is>
      </c>
      <c r="G17" s="12" t="n">
        <v>1</v>
      </c>
      <c r="H17" s="2" t="inlineStr">
        <is>
          <t>pcs</t>
        </is>
      </c>
      <c r="I17" s="6" t="n">
        <v>0</v>
      </c>
      <c r="J17" s="12">
        <f>$G17</f>
        <v/>
      </c>
      <c r="K17" s="12">
        <f>ROUND($G17*(1+$I17),3)</f>
        <v/>
      </c>
      <c r="L17" s="2" t="inlineStr">
        <is>
          <t>Buy</t>
        </is>
      </c>
      <c r="M17" s="2" t="inlineStr">
        <is>
          <t>SUP-000087</t>
        </is>
      </c>
      <c r="N17" s="10" t="n">
        <v>46293</v>
      </c>
      <c r="O17" s="10" t="inlineStr">
        <is>
          <t>USR-04</t>
        </is>
      </c>
    </row>
    <row r="18">
      <c r="A18" s="7" t="inlineStr">
        <is>
          <t>BLI-000957</t>
        </is>
      </c>
      <c r="B18" s="7" t="inlineStr">
        <is>
          <t>BOM-000215-R04</t>
        </is>
      </c>
      <c r="C18" s="7" t="inlineStr">
        <is>
          <t>BLI-000950</t>
        </is>
      </c>
      <c r="D18" s="15" t="n">
        <v>1</v>
      </c>
      <c r="E18" s="15" t="n">
        <v>80</v>
      </c>
      <c r="F18" s="7" t="inlineStr">
        <is>
          <t>MAT-001548</t>
        </is>
      </c>
      <c r="G18" s="15" t="n">
        <v>1</v>
      </c>
      <c r="H18" s="7" t="inlineStr">
        <is>
          <t>pcs</t>
        </is>
      </c>
      <c r="I18" s="9" t="n">
        <v>0</v>
      </c>
      <c r="J18" s="15">
        <f>$G18</f>
        <v/>
      </c>
      <c r="K18" s="15">
        <f>ROUND($G18*(1+$I18),3)</f>
        <v/>
      </c>
      <c r="L18" s="7" t="inlineStr">
        <is>
          <t>Buy</t>
        </is>
      </c>
      <c r="M18" s="7" t="inlineStr">
        <is>
          <t>SUP-000086</t>
        </is>
      </c>
      <c r="N18" s="13" t="n">
        <v>46293</v>
      </c>
      <c r="O18" s="13" t="inlineStr">
        <is>
          <t>USR-04</t>
        </is>
      </c>
    </row>
    <row r="19">
      <c r="A19" s="2" t="inlineStr">
        <is>
          <t>BLI-000900</t>
        </is>
      </c>
      <c r="B19" s="2" t="inlineStr">
        <is>
          <t>BOM-000216-R02</t>
        </is>
      </c>
      <c r="C19" s="2" t="inlineStr"/>
      <c r="D19" s="12" t="n">
        <v>0</v>
      </c>
      <c r="E19" s="12" t="n">
        <v>10</v>
      </c>
      <c r="F19" s="2" t="inlineStr">
        <is>
          <t>PRD-000126</t>
        </is>
      </c>
      <c r="G19" s="12" t="n">
        <v>1</v>
      </c>
      <c r="H19" s="2" t="inlineStr">
        <is>
          <t>pcs</t>
        </is>
      </c>
      <c r="I19" s="6" t="n">
        <v>0</v>
      </c>
      <c r="J19" s="12">
        <f>$G19</f>
        <v/>
      </c>
      <c r="K19" s="12">
        <f>ROUND($G19*(1+$I19),3)</f>
        <v/>
      </c>
      <c r="L19" s="2" t="inlineStr">
        <is>
          <t>Make</t>
        </is>
      </c>
      <c r="M19" s="2" t="inlineStr"/>
      <c r="N19" s="10" t="n">
        <v>46293</v>
      </c>
      <c r="O19" s="10" t="inlineStr">
        <is>
          <t>USR-04</t>
        </is>
      </c>
    </row>
    <row r="20">
      <c r="A20" s="7" t="inlineStr">
        <is>
          <t>BLI-000901</t>
        </is>
      </c>
      <c r="B20" s="7" t="inlineStr">
        <is>
          <t>BOM-000216-R02</t>
        </is>
      </c>
      <c r="C20" s="7" t="inlineStr">
        <is>
          <t>BLI-000900</t>
        </is>
      </c>
      <c r="D20" s="15" t="n">
        <v>1</v>
      </c>
      <c r="E20" s="15" t="n">
        <v>20</v>
      </c>
      <c r="F20" s="7" t="inlineStr">
        <is>
          <t>MAT-001542</t>
        </is>
      </c>
      <c r="G20" s="15" t="n">
        <v>95</v>
      </c>
      <c r="H20" s="7" t="inlineStr">
        <is>
          <t>kg</t>
        </is>
      </c>
      <c r="I20" s="9" t="n">
        <v>0.05</v>
      </c>
      <c r="J20" s="15">
        <f>$G20</f>
        <v/>
      </c>
      <c r="K20" s="15">
        <f>ROUND($G20*(1+$I20),3)</f>
        <v/>
      </c>
      <c r="L20" s="7" t="inlineStr">
        <is>
          <t>Make</t>
        </is>
      </c>
      <c r="M20" s="7" t="inlineStr"/>
      <c r="N20" s="13" t="n">
        <v>46293</v>
      </c>
      <c r="O20" s="13" t="inlineStr">
        <is>
          <t>USR-04</t>
        </is>
      </c>
    </row>
    <row r="21">
      <c r="A21" s="2" t="inlineStr">
        <is>
          <t>BLI-000902</t>
        </is>
      </c>
      <c r="B21" s="2" t="inlineStr">
        <is>
          <t>BOM-000216-R02</t>
        </is>
      </c>
      <c r="C21" s="2" t="inlineStr">
        <is>
          <t>BLI-000900</t>
        </is>
      </c>
      <c r="D21" s="12" t="n">
        <v>1</v>
      </c>
      <c r="E21" s="12" t="n">
        <v>30</v>
      </c>
      <c r="F21" s="2" t="inlineStr">
        <is>
          <t>MAT-001547</t>
        </is>
      </c>
      <c r="G21" s="12" t="n">
        <v>14</v>
      </c>
      <c r="H21" s="2" t="inlineStr">
        <is>
          <t>kg</t>
        </is>
      </c>
      <c r="I21" s="6" t="n">
        <v>0.05</v>
      </c>
      <c r="J21" s="12">
        <f>$G21</f>
        <v/>
      </c>
      <c r="K21" s="12">
        <f>ROUND($G21*(1+$I21),3)</f>
        <v/>
      </c>
      <c r="L21" s="2" t="inlineStr">
        <is>
          <t>Make</t>
        </is>
      </c>
      <c r="M21" s="2" t="inlineStr"/>
      <c r="N21" s="10" t="n">
        <v>46293</v>
      </c>
      <c r="O21" s="10" t="inlineStr">
        <is>
          <t>USR-04</t>
        </is>
      </c>
    </row>
    <row r="22">
      <c r="A22" s="7" t="inlineStr">
        <is>
          <t>BLI-000903</t>
        </is>
      </c>
      <c r="B22" s="7" t="inlineStr">
        <is>
          <t>BOM-000216-R02</t>
        </is>
      </c>
      <c r="C22" s="7" t="inlineStr">
        <is>
          <t>BLI-000900</t>
        </is>
      </c>
      <c r="D22" s="15" t="n">
        <v>1</v>
      </c>
      <c r="E22" s="15" t="n">
        <v>40</v>
      </c>
      <c r="F22" s="7" t="inlineStr">
        <is>
          <t>MAT-001544</t>
        </is>
      </c>
      <c r="G22" s="15" t="n">
        <v>1</v>
      </c>
      <c r="H22" s="7" t="inlineStr">
        <is>
          <t>pcs</t>
        </is>
      </c>
      <c r="I22" s="9" t="n">
        <v>0</v>
      </c>
      <c r="J22" s="15">
        <f>$G22</f>
        <v/>
      </c>
      <c r="K22" s="15">
        <f>ROUND($G22*(1+$I22),3)</f>
        <v/>
      </c>
      <c r="L22" s="7" t="inlineStr">
        <is>
          <t>Buy</t>
        </is>
      </c>
      <c r="M22" s="7" t="inlineStr">
        <is>
          <t>SUP-000089</t>
        </is>
      </c>
      <c r="N22" s="13" t="n">
        <v>46293</v>
      </c>
      <c r="O22" s="13" t="inlineStr">
        <is>
          <t>USR-04</t>
        </is>
      </c>
    </row>
    <row r="23">
      <c r="A23" s="2" t="inlineStr">
        <is>
          <t>BLI-000904</t>
        </is>
      </c>
      <c r="B23" s="2" t="inlineStr">
        <is>
          <t>BOM-000216-R02</t>
        </is>
      </c>
      <c r="C23" s="2" t="inlineStr">
        <is>
          <t>BLI-000900</t>
        </is>
      </c>
      <c r="D23" s="12" t="n">
        <v>1</v>
      </c>
      <c r="E23" s="12" t="n">
        <v>50</v>
      </c>
      <c r="F23" s="2" t="inlineStr">
        <is>
          <t>MAT-001545</t>
        </is>
      </c>
      <c r="G23" s="12" t="n">
        <v>1</v>
      </c>
      <c r="H23" s="2" t="inlineStr">
        <is>
          <t>pcs</t>
        </is>
      </c>
      <c r="I23" s="6" t="n">
        <v>0</v>
      </c>
      <c r="J23" s="12">
        <f>$G23</f>
        <v/>
      </c>
      <c r="K23" s="12">
        <f>ROUND($G23*(1+$I23),3)</f>
        <v/>
      </c>
      <c r="L23" s="2" t="inlineStr">
        <is>
          <t>Buy</t>
        </is>
      </c>
      <c r="M23" s="2" t="inlineStr">
        <is>
          <t>SUP-000088</t>
        </is>
      </c>
      <c r="N23" s="10" t="n">
        <v>46293</v>
      </c>
      <c r="O23" s="10" t="inlineStr">
        <is>
          <t>USR-04</t>
        </is>
      </c>
    </row>
    <row r="24">
      <c r="A24" s="7" t="inlineStr">
        <is>
          <t>BLI-000905</t>
        </is>
      </c>
      <c r="B24" s="7" t="inlineStr">
        <is>
          <t>BOM-000216-R02</t>
        </is>
      </c>
      <c r="C24" s="7" t="inlineStr">
        <is>
          <t>BLI-000900</t>
        </is>
      </c>
      <c r="D24" s="15" t="n">
        <v>1</v>
      </c>
      <c r="E24" s="15" t="n">
        <v>60</v>
      </c>
      <c r="F24" s="7" t="inlineStr">
        <is>
          <t>MAT-001546</t>
        </is>
      </c>
      <c r="G24" s="15" t="n">
        <v>1</v>
      </c>
      <c r="H24" s="7" t="inlineStr">
        <is>
          <t>pcs</t>
        </is>
      </c>
      <c r="I24" s="9" t="n">
        <v>0</v>
      </c>
      <c r="J24" s="15">
        <f>$G24</f>
        <v/>
      </c>
      <c r="K24" s="15">
        <f>ROUND($G24*(1+$I24),3)</f>
        <v/>
      </c>
      <c r="L24" s="7" t="inlineStr">
        <is>
          <t>Buy</t>
        </is>
      </c>
      <c r="M24" s="7" t="inlineStr">
        <is>
          <t>SUP-000087</t>
        </is>
      </c>
      <c r="N24" s="13" t="n">
        <v>46293</v>
      </c>
      <c r="O24" s="13" t="inlineStr">
        <is>
          <t>USR-04</t>
        </is>
      </c>
    </row>
    <row r="25">
      <c r="A25" s="2" t="inlineStr">
        <is>
          <t>BLI-000906</t>
        </is>
      </c>
      <c r="B25" s="2" t="inlineStr">
        <is>
          <t>BOM-000216-R02</t>
        </is>
      </c>
      <c r="C25" s="2" t="inlineStr">
        <is>
          <t>BLI-000900</t>
        </is>
      </c>
      <c r="D25" s="12" t="n">
        <v>1</v>
      </c>
      <c r="E25" s="12" t="n">
        <v>70</v>
      </c>
      <c r="F25" s="2" t="inlineStr">
        <is>
          <t>MAT-001548</t>
        </is>
      </c>
      <c r="G25" s="12" t="n">
        <v>1</v>
      </c>
      <c r="H25" s="2" t="inlineStr">
        <is>
          <t>pcs</t>
        </is>
      </c>
      <c r="I25" s="6" t="n">
        <v>0</v>
      </c>
      <c r="J25" s="12">
        <f>$G25</f>
        <v/>
      </c>
      <c r="K25" s="12">
        <f>ROUND($G25*(1+$I25),3)</f>
        <v/>
      </c>
      <c r="L25" s="2" t="inlineStr">
        <is>
          <t>Buy</t>
        </is>
      </c>
      <c r="M25" s="2" t="inlineStr">
        <is>
          <t>SUP-000086</t>
        </is>
      </c>
      <c r="N25" s="10" t="n">
        <v>46293</v>
      </c>
      <c r="O25" s="10" t="inlineStr">
        <is>
          <t>USR-04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4_1" sqref="B3:I60" password="E2F4"/>
    <protectedRange name="ROL-04_2" sqref="L3:M60" password="E2F4"/>
  </protectedRanges>
  <dataValidations count="4">
    <dataValidation sqref="B3:I65" showDropDown="0" showInputMessage="0" showErrorMessage="1" allowBlank="1" errorTitle="قفل گیت گردش کار" error="گیت ۲: ثبت ردیف BOM فقط پس از تکمیل امکان‌سنجی مجاز است. (وضعیت گیت‌ها: شیت Gate_Status)" promptTitle="قفل گیت گردش کار" prompt="گیت ۲: ثبت ردیف BOM فقط پس از تکمیل امکان‌سنجی مجاز است." type="custom">
      <formula1>=Gate_Status!$AA$1=1</formula1>
    </dataValidation>
    <dataValidation sqref="M3:M65" showDropDown="0" showInputMessage="0" showErrorMessage="1" allowBlank="1" errorTitle="قفل گیت گردش کار" error="گیت ۲: ثبت ردیف BOM فقط پس از تکمیل امکان‌سنجی مجاز است. (وضعیت گیت‌ها: شیت Gate_Status)" promptTitle="قفل گیت گردش کار" prompt="گیت ۲: ثبت ردیف BOM فقط پس از تکمیل امکان‌سنجی مجاز است." type="custom">
      <formula1>=Gate_Status!$AA$1=1</formula1>
    </dataValidation>
    <dataValidation sqref="H3:H25" showDropDown="0" showInputMessage="0" showErrorMessage="1" allowBlank="1" errorTitle="Data Validation" error="مقدار خارج از فهرست مجاز است" promptTitle="UoM" prompt="انتخاب از فهرست مجاز برای UoM" type="list">
      <formula1>"pcs,kg,m,m2,liter,set,ton"</formula1>
    </dataValidation>
    <dataValidation sqref="L3:L25" showDropDown="0" showInputMessage="0" showErrorMessage="1" allowBlank="1" errorTitle="Data Validation" error="مقدار خارج از فهرست مجاز است" promptTitle="Make_Buy" prompt="انتخاب از فهرست مجاز برای Make_Buy" type="list">
      <formula1>"Make,Buy"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ED7D31"/>
    <outlinePr summaryBelow="1" summaryRight="1"/>
    <pageSetUpPr/>
  </sheetPr>
  <dimension ref="A1:P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4" customWidth="1" min="5" max="5"/>
    <col width="12" customWidth="1" min="6" max="6"/>
    <col width="20" customWidth="1" min="7" max="7"/>
    <col width="12" customWidth="1" min="8" max="8"/>
    <col width="21" customWidth="1" min="9" max="9"/>
    <col width="12" customWidth="1" min="10" max="10"/>
    <col width="16" customWidth="1" min="11" max="11"/>
    <col width="19" customWidth="1" min="12" max="12"/>
    <col width="22" customWidth="1" min="13" max="13"/>
    <col width="12" customWidth="1" min="14" max="14"/>
    <col width="14" customWidth="1" min="15" max="15"/>
    <col width="13" customWidth="1" min="16" max="16"/>
  </cols>
  <sheetData>
    <row r="1">
      <c r="A1" s="1" t="inlineStr">
        <is>
          <t>Time_Study</t>
        </is>
      </c>
      <c r="B1" s="3" t="inlineStr">
        <is>
          <t>زمان‌سنجی عملیات توسط مهندسی؛ نفرساعت = (آماده‌سازی + زمان استاندارد×مقدار سفارش×(1+ضایعات))/60 × تعداد اپراتور. جمع نفرساعت مستقیماً وارد دستمزد مستقیم در Cost_Lines می‌شود.</t>
        </is>
      </c>
    </row>
    <row r="2">
      <c r="A2" s="4" t="inlineStr">
        <is>
          <t>System_ID</t>
        </is>
      </c>
      <c r="B2" s="4" t="inlineStr">
        <is>
          <t>Project_ID</t>
        </is>
      </c>
      <c r="C2" s="4" t="inlineStr">
        <is>
          <t>Product_ID</t>
        </is>
      </c>
      <c r="D2" s="4" t="inlineStr">
        <is>
          <t>Operation</t>
        </is>
      </c>
      <c r="E2" s="4" t="inlineStr">
        <is>
          <t>Work_Center</t>
        </is>
      </c>
      <c r="F2" s="4" t="inlineStr">
        <is>
          <t>Setup_Min</t>
        </is>
      </c>
      <c r="G2" s="4" t="inlineStr">
        <is>
          <t>Std_Min_Per_Unit</t>
        </is>
      </c>
      <c r="H2" s="4" t="inlineStr">
        <is>
          <t>Operators</t>
        </is>
      </c>
      <c r="I2" s="4" t="inlineStr">
        <is>
          <t>Scrap_Allowance_%</t>
        </is>
      </c>
      <c r="J2" s="4" t="inlineStr">
        <is>
          <t>Order_Qty</t>
        </is>
      </c>
      <c r="K2" s="4" t="inlineStr">
        <is>
          <t>Man_Min_Total</t>
        </is>
      </c>
      <c r="L2" s="4" t="inlineStr">
        <is>
          <t>Man_Hours_Total</t>
        </is>
      </c>
      <c r="M2" s="4" t="inlineStr">
        <is>
          <t>Man_Hours_Per_Unit</t>
        </is>
      </c>
      <c r="N2" s="4" t="inlineStr">
        <is>
          <t>Status_ID</t>
        </is>
      </c>
      <c r="O2" s="4" t="inlineStr">
        <is>
          <t>Create_Date</t>
        </is>
      </c>
      <c r="P2" s="4" t="inlineStr">
        <is>
          <t>Created_By</t>
        </is>
      </c>
    </row>
    <row r="3">
      <c r="A3" s="2" t="inlineStr">
        <is>
          <t>TST-000001</t>
        </is>
      </c>
      <c r="B3" s="2" t="inlineStr">
        <is>
          <t>PRJ-2026-00125</t>
        </is>
      </c>
      <c r="C3" s="2" t="inlineStr">
        <is>
          <t>PRD-000125</t>
        </is>
      </c>
      <c r="D3" s="2" t="inlineStr">
        <is>
          <t>برش و آماده‌سازی مواد اولیه</t>
        </is>
      </c>
      <c r="E3" s="2" t="inlineStr">
        <is>
          <t>WC-CUT</t>
        </is>
      </c>
      <c r="F3" s="5" t="n">
        <v>240</v>
      </c>
      <c r="G3" s="5" t="n">
        <v>900</v>
      </c>
      <c r="H3" s="2" t="n">
        <v>2</v>
      </c>
      <c r="I3" s="6" t="n">
        <v>0.02</v>
      </c>
      <c r="J3" s="12">
        <f>SUMIFS(Order_Lines!$E$3:$E$20,Order_Lines!$B$3:$B$20,XLOOKUP($B3,Projects!$A$3:$A$20,Projects!$C$3:$C$20,""),Order_Lines!$D$3:$D$20,$C3)</f>
        <v/>
      </c>
      <c r="K3" s="5">
        <f>IF($J3=0,0,$F3+$G3*$J3*(1+$I3))</f>
        <v/>
      </c>
      <c r="L3" s="5">
        <f>ROUND($K3/60*$H3,2)</f>
        <v/>
      </c>
      <c r="M3" s="12">
        <f>IF($J3=0,0,ROUND($L3/$J3,2))</f>
        <v/>
      </c>
      <c r="N3" s="2" t="inlineStr">
        <is>
          <t>Approved</t>
        </is>
      </c>
      <c r="O3" s="10" t="n">
        <v>46292</v>
      </c>
      <c r="P3" s="10" t="inlineStr">
        <is>
          <t>USR-04</t>
        </is>
      </c>
    </row>
    <row r="4">
      <c r="A4" s="7" t="inlineStr">
        <is>
          <t>TST-000002</t>
        </is>
      </c>
      <c r="B4" s="7" t="inlineStr">
        <is>
          <t>PRJ-2026-00125</t>
        </is>
      </c>
      <c r="C4" s="7" t="inlineStr">
        <is>
          <t>PRD-000125</t>
        </is>
      </c>
      <c r="D4" s="7" t="inlineStr">
        <is>
          <t>ماشین‌کاری پوسته (CNC)</t>
        </is>
      </c>
      <c r="E4" s="7" t="inlineStr">
        <is>
          <t>WC-CNC</t>
        </is>
      </c>
      <c r="F4" s="8" t="n">
        <v>480</v>
      </c>
      <c r="G4" s="8" t="n">
        <v>2400</v>
      </c>
      <c r="H4" s="7" t="n">
        <v>1</v>
      </c>
      <c r="I4" s="9" t="n">
        <v>0.02</v>
      </c>
      <c r="J4" s="15">
        <f>SUMIFS(Order_Lines!$E$3:$E$20,Order_Lines!$B$3:$B$20,XLOOKUP($B4,Projects!$A$3:$A$20,Projects!$C$3:$C$20,""),Order_Lines!$D$3:$D$20,$C4)</f>
        <v/>
      </c>
      <c r="K4" s="8">
        <f>IF($J4=0,0,$F4+$G4*$J4*(1+$I4))</f>
        <v/>
      </c>
      <c r="L4" s="8">
        <f>ROUND($K4/60*$H4,2)</f>
        <v/>
      </c>
      <c r="M4" s="15">
        <f>IF($J4=0,0,ROUND($L4/$J4,2))</f>
        <v/>
      </c>
      <c r="N4" s="7" t="inlineStr">
        <is>
          <t>Approved</t>
        </is>
      </c>
      <c r="O4" s="13" t="n">
        <v>46292</v>
      </c>
      <c r="P4" s="13" t="inlineStr">
        <is>
          <t>USR-04</t>
        </is>
      </c>
    </row>
    <row r="5">
      <c r="A5" s="2" t="inlineStr">
        <is>
          <t>TST-000003</t>
        </is>
      </c>
      <c r="B5" s="2" t="inlineStr">
        <is>
          <t>PRJ-2026-00125</t>
        </is>
      </c>
      <c r="C5" s="2" t="inlineStr">
        <is>
          <t>PRD-000125</t>
        </is>
      </c>
      <c r="D5" s="2" t="inlineStr">
        <is>
          <t>ماشین‌کاری پروانه و بالانس استاتیک</t>
        </is>
      </c>
      <c r="E5" s="2" t="inlineStr">
        <is>
          <t>WC-CNC</t>
        </is>
      </c>
      <c r="F5" s="5" t="n">
        <v>240</v>
      </c>
      <c r="G5" s="5" t="n">
        <v>1200</v>
      </c>
      <c r="H5" s="2" t="n">
        <v>1</v>
      </c>
      <c r="I5" s="6" t="n">
        <v>0.02</v>
      </c>
      <c r="J5" s="12">
        <f>SUMIFS(Order_Lines!$E$3:$E$20,Order_Lines!$B$3:$B$20,XLOOKUP($B5,Projects!$A$3:$A$20,Projects!$C$3:$C$20,""),Order_Lines!$D$3:$D$20,$C5)</f>
        <v/>
      </c>
      <c r="K5" s="5">
        <f>IF($J5=0,0,$F5+$G5*$J5*(1+$I5))</f>
        <v/>
      </c>
      <c r="L5" s="5">
        <f>ROUND($K5/60*$H5,2)</f>
        <v/>
      </c>
      <c r="M5" s="12">
        <f>IF($J5=0,0,ROUND($L5/$J5,2))</f>
        <v/>
      </c>
      <c r="N5" s="2" t="inlineStr">
        <is>
          <t>Approved</t>
        </is>
      </c>
      <c r="O5" s="10" t="n">
        <v>46292</v>
      </c>
      <c r="P5" s="10" t="inlineStr">
        <is>
          <t>USR-04</t>
        </is>
      </c>
    </row>
    <row r="6">
      <c r="A6" s="7" t="inlineStr">
        <is>
          <t>TST-000004</t>
        </is>
      </c>
      <c r="B6" s="7" t="inlineStr">
        <is>
          <t>PRJ-2026-00125</t>
        </is>
      </c>
      <c r="C6" s="7" t="inlineStr">
        <is>
          <t>PRD-000125</t>
        </is>
      </c>
      <c r="D6" s="7" t="inlineStr">
        <is>
          <t>مونتاژ عمومی و بالانس دینامیک</t>
        </is>
      </c>
      <c r="E6" s="7" t="inlineStr">
        <is>
          <t>WC-ASM</t>
        </is>
      </c>
      <c r="F6" s="8" t="n">
        <v>360</v>
      </c>
      <c r="G6" s="8" t="n">
        <v>2700</v>
      </c>
      <c r="H6" s="7" t="n">
        <v>2</v>
      </c>
      <c r="I6" s="9" t="n">
        <v>0.02</v>
      </c>
      <c r="J6" s="15">
        <f>SUMIFS(Order_Lines!$E$3:$E$20,Order_Lines!$B$3:$B$20,XLOOKUP($B6,Projects!$A$3:$A$20,Projects!$C$3:$C$20,""),Order_Lines!$D$3:$D$20,$C6)</f>
        <v/>
      </c>
      <c r="K6" s="8">
        <f>IF($J6=0,0,$F6+$G6*$J6*(1+$I6))</f>
        <v/>
      </c>
      <c r="L6" s="8">
        <f>ROUND($K6/60*$H6,2)</f>
        <v/>
      </c>
      <c r="M6" s="15">
        <f>IF($J6=0,0,ROUND($L6/$J6,2))</f>
        <v/>
      </c>
      <c r="N6" s="7" t="inlineStr">
        <is>
          <t>Approved</t>
        </is>
      </c>
      <c r="O6" s="13" t="n">
        <v>46292</v>
      </c>
      <c r="P6" s="13" t="inlineStr">
        <is>
          <t>USR-04</t>
        </is>
      </c>
    </row>
    <row r="7">
      <c r="A7" s="2" t="inlineStr">
        <is>
          <t>TST-000005</t>
        </is>
      </c>
      <c r="B7" s="2" t="inlineStr">
        <is>
          <t>PRJ-2026-00125</t>
        </is>
      </c>
      <c r="C7" s="2" t="inlineStr">
        <is>
          <t>PRD-000125</t>
        </is>
      </c>
      <c r="D7" s="2" t="inlineStr">
        <is>
          <t>تست عملکردی نهایی و کنترل کیفیت</t>
        </is>
      </c>
      <c r="E7" s="2" t="inlineStr">
        <is>
          <t>WC-QC</t>
        </is>
      </c>
      <c r="F7" s="5" t="n">
        <v>60</v>
      </c>
      <c r="G7" s="5" t="n">
        <v>60</v>
      </c>
      <c r="H7" s="2" t="n">
        <v>1</v>
      </c>
      <c r="I7" s="6" t="n">
        <v>0.02</v>
      </c>
      <c r="J7" s="12">
        <f>SUMIFS(Order_Lines!$E$3:$E$20,Order_Lines!$B$3:$B$20,XLOOKUP($B7,Projects!$A$3:$A$20,Projects!$C$3:$C$20,""),Order_Lines!$D$3:$D$20,$C7)</f>
        <v/>
      </c>
      <c r="K7" s="5">
        <f>IF($J7=0,0,$F7+$G7*$J7*(1+$I7))</f>
        <v/>
      </c>
      <c r="L7" s="5">
        <f>ROUND($K7/60*$H7,2)</f>
        <v/>
      </c>
      <c r="M7" s="12">
        <f>IF($J7=0,0,ROUND($L7/$J7,2))</f>
        <v/>
      </c>
      <c r="N7" s="2" t="inlineStr">
        <is>
          <t>Approved</t>
        </is>
      </c>
      <c r="O7" s="10" t="n">
        <v>46292</v>
      </c>
      <c r="P7" s="10" t="inlineStr">
        <is>
          <t>USR-04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4_1" sqref="B3:I20" password="E2F4"/>
  </protectedRanges>
  <dataValidations count="2">
    <dataValidation sqref="B3:H47" showDropDown="0" showInputMessage="0" showErrorMessage="1" allowBlank="1" errorTitle="قفل گیت گردش کار" error="گیت ۲: زمان‌سنجی فقط پس از تکمیل امکان‌سنجی پروژه مجاز است. (وضعیت گیت‌ها: شیت Gate_Status)" promptTitle="قفل گیت گردش کار" prompt="گیت ۲: زمان‌سنجی فقط پس از تکمیل امکان‌سنجی پروژه مجاز است." type="custom">
      <formula1>=OR($B3="",IFERROR(INDEX(Gate_Status!$O$3:$O$20,MATCH($B3,Gate_Status!$B$3:$B$20,0)),0)=1)</formula1>
    </dataValidation>
    <dataValidation sqref="N3:N7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ED7D31"/>
    <outlinePr summaryBelow="1" summaryRight="1"/>
    <pageSetUpPr/>
  </sheetPr>
  <dimension ref="A1:I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6" customWidth="1" min="4" max="4"/>
    <col width="16" customWidth="1" min="5" max="5"/>
    <col width="11" customWidth="1" min="6" max="6"/>
    <col width="20" customWidth="1" min="7" max="7"/>
    <col width="22" customWidth="1" min="8" max="8"/>
    <col width="12" customWidth="1" min="9" max="9"/>
  </cols>
  <sheetData>
    <row r="1">
      <c r="A1" s="1" t="inlineStr">
        <is>
          <t>Materials</t>
        </is>
      </c>
    </row>
    <row r="2">
      <c r="A2" s="4" t="inlineStr">
        <is>
          <t>System_ID</t>
        </is>
      </c>
      <c r="B2" s="4" t="inlineStr">
        <is>
          <t>Material_Code</t>
        </is>
      </c>
      <c r="C2" s="4" t="inlineStr">
        <is>
          <t>Material_Description</t>
        </is>
      </c>
      <c r="D2" s="4" t="inlineStr">
        <is>
          <t>Material_Type</t>
        </is>
      </c>
      <c r="E2" s="4" t="inlineStr">
        <is>
          <t>Specification</t>
        </is>
      </c>
      <c r="F2" s="4" t="inlineStr">
        <is>
          <t>UoM</t>
        </is>
      </c>
      <c r="G2" s="4" t="inlineStr">
        <is>
          <t>Make_Buy_Default</t>
        </is>
      </c>
      <c r="H2" s="4" t="inlineStr">
        <is>
          <t>Preferred_Supplier</t>
        </is>
      </c>
      <c r="I2" s="4" t="inlineStr">
        <is>
          <t>Is_Active</t>
        </is>
      </c>
    </row>
    <row r="3">
      <c r="A3" s="2" t="inlineStr">
        <is>
          <t>MAT-001542</t>
        </is>
      </c>
      <c r="B3" s="2" t="inlineStr">
        <is>
          <t>MAT-01</t>
        </is>
      </c>
      <c r="C3" s="10" t="inlineStr">
        <is>
          <t>پوسته چدنی (Cast Iron Casing)</t>
        </is>
      </c>
      <c r="D3" s="2" t="inlineStr">
        <is>
          <t>Raw Material</t>
        </is>
      </c>
      <c r="E3" s="2" t="inlineStr">
        <is>
          <t>GG-25 مطابق DIN 1691</t>
        </is>
      </c>
      <c r="F3" s="2" t="inlineStr">
        <is>
          <t>kg</t>
        </is>
      </c>
      <c r="G3" s="10" t="inlineStr">
        <is>
          <t>Make</t>
        </is>
      </c>
      <c r="H3" s="2" t="inlineStr"/>
      <c r="I3" s="2" t="n">
        <v>1</v>
      </c>
    </row>
    <row r="4">
      <c r="A4" s="7" t="inlineStr">
        <is>
          <t>MAT-001543</t>
        </is>
      </c>
      <c r="B4" s="7" t="inlineStr">
        <is>
          <t>MAT-02</t>
        </is>
      </c>
      <c r="C4" s="13" t="inlineStr">
        <is>
          <t>پروانه فولاد ضدزنگ (Impeller SS316)</t>
        </is>
      </c>
      <c r="D4" s="7" t="inlineStr">
        <is>
          <t>Raw Material</t>
        </is>
      </c>
      <c r="E4" s="7" t="inlineStr">
        <is>
          <t>AISI 316L</t>
        </is>
      </c>
      <c r="F4" s="7" t="inlineStr">
        <is>
          <t>kg</t>
        </is>
      </c>
      <c r="G4" s="13" t="inlineStr">
        <is>
          <t>Make</t>
        </is>
      </c>
      <c r="H4" s="7" t="inlineStr"/>
      <c r="I4" s="7" t="n">
        <v>1</v>
      </c>
    </row>
    <row r="5">
      <c r="A5" s="2" t="inlineStr">
        <is>
          <t>MAT-001544</t>
        </is>
      </c>
      <c r="B5" s="2" t="inlineStr">
        <is>
          <t>MAT-03</t>
        </is>
      </c>
      <c r="C5" s="10" t="inlineStr">
        <is>
          <t>بلبرینگ کف‌گرد (Thrust Bearing)</t>
        </is>
      </c>
      <c r="D5" s="2" t="inlineStr">
        <is>
          <t>Purchased Part</t>
        </is>
      </c>
      <c r="E5" s="2" t="inlineStr">
        <is>
          <t>SKF 29420 E</t>
        </is>
      </c>
      <c r="F5" s="2" t="inlineStr">
        <is>
          <t>pcs</t>
        </is>
      </c>
      <c r="G5" s="10" t="inlineStr">
        <is>
          <t>Buy</t>
        </is>
      </c>
      <c r="H5" s="2" t="inlineStr">
        <is>
          <t>SUP-000089</t>
        </is>
      </c>
      <c r="I5" s="2" t="n">
        <v>1</v>
      </c>
    </row>
    <row r="6">
      <c r="A6" s="7" t="inlineStr">
        <is>
          <t>MAT-001545</t>
        </is>
      </c>
      <c r="B6" s="7" t="inlineStr">
        <is>
          <t>MAT-04</t>
        </is>
      </c>
      <c r="C6" s="13" t="inlineStr">
        <is>
          <t>مکانیکال سیل (Mechanical Seal)</t>
        </is>
      </c>
      <c r="D6" s="7" t="inlineStr">
        <is>
          <t>Purchased Part</t>
        </is>
      </c>
      <c r="E6" s="7" t="inlineStr">
        <is>
          <t>EagleBurgmann H74</t>
        </is>
      </c>
      <c r="F6" s="7" t="inlineStr">
        <is>
          <t>pcs</t>
        </is>
      </c>
      <c r="G6" s="13" t="inlineStr">
        <is>
          <t>Buy</t>
        </is>
      </c>
      <c r="H6" s="7" t="inlineStr">
        <is>
          <t>SUP-000088</t>
        </is>
      </c>
      <c r="I6" s="7" t="n">
        <v>1</v>
      </c>
    </row>
    <row r="7">
      <c r="A7" s="2" t="inlineStr">
        <is>
          <t>MAT-001546</t>
        </is>
      </c>
      <c r="B7" s="2" t="inlineStr">
        <is>
          <t>MAT-05</t>
        </is>
      </c>
      <c r="C7" s="10" t="inlineStr">
        <is>
          <t>الکتروموتور 45kW</t>
        </is>
      </c>
      <c r="D7" s="2" t="inlineStr">
        <is>
          <t>Purchased Part</t>
        </is>
      </c>
      <c r="E7" s="2" t="inlineStr">
        <is>
          <t>IEC 400V 50Hz IM B3</t>
        </is>
      </c>
      <c r="F7" s="2" t="inlineStr">
        <is>
          <t>pcs</t>
        </is>
      </c>
      <c r="G7" s="10" t="inlineStr">
        <is>
          <t>Buy</t>
        </is>
      </c>
      <c r="H7" s="2" t="inlineStr">
        <is>
          <t>SUP-000087</t>
        </is>
      </c>
      <c r="I7" s="2" t="n">
        <v>1</v>
      </c>
    </row>
    <row r="8">
      <c r="A8" s="7" t="inlineStr">
        <is>
          <t>MAT-001547</t>
        </is>
      </c>
      <c r="B8" s="7" t="inlineStr">
        <is>
          <t>MAT-06</t>
        </is>
      </c>
      <c r="C8" s="13" t="inlineStr">
        <is>
          <t>شفت فولادی (Shaft CK45)</t>
        </is>
      </c>
      <c r="D8" s="7" t="inlineStr">
        <is>
          <t>Raw Material</t>
        </is>
      </c>
      <c r="E8" s="7" t="inlineStr">
        <is>
          <t>CK45 مطابق DIN 17200</t>
        </is>
      </c>
      <c r="F8" s="7" t="inlineStr">
        <is>
          <t>kg</t>
        </is>
      </c>
      <c r="G8" s="13" t="inlineStr">
        <is>
          <t>Make</t>
        </is>
      </c>
      <c r="H8" s="7" t="inlineStr"/>
      <c r="I8" s="7" t="n">
        <v>1</v>
      </c>
    </row>
    <row r="9">
      <c r="A9" s="2" t="inlineStr">
        <is>
          <t>MAT-001548</t>
        </is>
      </c>
      <c r="B9" s="2" t="inlineStr">
        <is>
          <t>MAT-07</t>
        </is>
      </c>
      <c r="C9" s="10" t="inlineStr">
        <is>
          <t>بسته‌بندی صادراتی چوبی</t>
        </is>
      </c>
      <c r="D9" s="2" t="inlineStr">
        <is>
          <t>Packaging</t>
        </is>
      </c>
      <c r="E9" s="2" t="inlineStr">
        <is>
          <t>ISPM-15</t>
        </is>
      </c>
      <c r="F9" s="2" t="inlineStr">
        <is>
          <t>pcs</t>
        </is>
      </c>
      <c r="G9" s="10" t="inlineStr">
        <is>
          <t>Buy</t>
        </is>
      </c>
      <c r="H9" s="2" t="inlineStr">
        <is>
          <t>SUP-000086</t>
        </is>
      </c>
      <c r="I9" s="2" t="n">
        <v>1</v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4_1" sqref="B3:I20" password="E2F4"/>
  </protectedRanges>
  <dataValidations count="3">
    <dataValidation sqref="D3:D9" showDropDown="0" showInputMessage="0" showErrorMessage="1" allowBlank="1" errorTitle="Data Validation" error="مقدار خارج از فهرست مجاز است" promptTitle="Material_Type" prompt="انتخاب از فهرست مجاز برای Material_Type" type="list">
      <formula1>"Raw Material,Purchased Part,Assembly,Sub Assembly,Packaging,Consumable"</formula1>
    </dataValidation>
    <dataValidation sqref="F3:F9" showDropDown="0" showInputMessage="0" showErrorMessage="1" allowBlank="1" errorTitle="Data Validation" error="مقدار خارج از فهرست مجاز است" promptTitle="UoM" prompt="انتخاب از فهرست مجاز برای UoM" type="list">
      <formula1>"pcs,kg,m,m2,liter,set,ton"</formula1>
    </dataValidation>
    <dataValidation sqref="G3:G9" showDropDown="0" showInputMessage="0" showErrorMessage="1" allowBlank="1" errorTitle="Data Validation" error="مقدار خارج از فهرست مجاز است" promptTitle="Make_Buy_Default" prompt="انتخاب از فهرست مجاز برای Make_Buy_Default" type="list">
      <formula1>"Make,Buy"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ED7D31"/>
    <outlinePr summaryBelow="1" summaryRight="1"/>
    <pageSetUpPr/>
  </sheetPr>
  <dimension ref="A1:J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11" customWidth="1" min="5" max="5"/>
    <col width="11" customWidth="1" min="6" max="6"/>
    <col width="18" customWidth="1" min="7" max="7"/>
    <col width="19" customWidth="1" min="8" max="8"/>
    <col width="11" customWidth="1" min="9" max="9"/>
    <col width="12" customWidth="1" min="10" max="10"/>
  </cols>
  <sheetData>
    <row r="1">
      <c r="A1" s="1" t="inlineStr">
        <is>
          <t>Equipment</t>
        </is>
      </c>
      <c r="B1" s="3" t="inlineStr">
        <is>
          <t>لیست مرجع تجهیزات؛ مهندسی از این فهرست در Project_Equipment انتخاب می‌کند و بازرگانی همان ردیف‌ها را قیمت می‌دهد. برای تجهیزات وارداتی نرخ ارز از Settings اعمال می‌شود.</t>
        </is>
      </c>
    </row>
    <row r="2">
      <c r="A2" s="4" t="inlineStr">
        <is>
          <t>System_ID</t>
        </is>
      </c>
      <c r="B2" s="4" t="inlineStr">
        <is>
          <t>Equipment_Code</t>
        </is>
      </c>
      <c r="C2" s="4" t="inlineStr">
        <is>
          <t>Equipment_Name</t>
        </is>
      </c>
      <c r="D2" s="4" t="inlineStr">
        <is>
          <t>Specification</t>
        </is>
      </c>
      <c r="E2" s="4" t="inlineStr">
        <is>
          <t>UoM</t>
        </is>
      </c>
      <c r="F2" s="4" t="inlineStr">
        <is>
          <t>Origin</t>
        </is>
      </c>
      <c r="G2" s="4" t="inlineStr">
        <is>
          <t>Lead_Time_Days</t>
        </is>
      </c>
      <c r="H2" s="4" t="inlineStr">
        <is>
          <t>Estimated_Price</t>
        </is>
      </c>
      <c r="I2" s="4" t="inlineStr">
        <is>
          <t>Currency</t>
        </is>
      </c>
      <c r="J2" s="4" t="inlineStr">
        <is>
          <t>Is_Active</t>
        </is>
      </c>
    </row>
    <row r="3">
      <c r="A3" s="2" t="inlineStr">
        <is>
          <t>EQP-000001</t>
        </is>
      </c>
      <c r="B3" s="2" t="inlineStr">
        <is>
          <t>EQP-01</t>
        </is>
      </c>
      <c r="C3" s="2" t="inlineStr">
        <is>
          <t>جرثقیل سقفی 5 تن</t>
        </is>
      </c>
      <c r="D3" s="2" t="inlineStr">
        <is>
          <t>DIN 15018 — دهانه 12 متر</t>
        </is>
      </c>
      <c r="E3" s="2" t="inlineStr">
        <is>
          <t>set</t>
        </is>
      </c>
      <c r="F3" s="2" t="inlineStr">
        <is>
          <t>Domestic</t>
        </is>
      </c>
      <c r="G3" s="11" t="n">
        <v>45</v>
      </c>
      <c r="H3" s="5" t="n">
        <v>8500000000</v>
      </c>
      <c r="I3" s="2" t="inlineStr">
        <is>
          <t>IRR</t>
        </is>
      </c>
      <c r="J3" s="2" t="n">
        <v>1</v>
      </c>
    </row>
    <row r="4">
      <c r="A4" s="7" t="inlineStr">
        <is>
          <t>EQP-000002</t>
        </is>
      </c>
      <c r="B4" s="7" t="inlineStr">
        <is>
          <t>EQP-02</t>
        </is>
      </c>
      <c r="C4" s="7" t="inlineStr">
        <is>
          <t>دستگاه جوشکاری صنعتی</t>
        </is>
      </c>
      <c r="D4" s="7" t="inlineStr">
        <is>
          <t>Fronius TPS 400i</t>
        </is>
      </c>
      <c r="E4" s="7" t="inlineStr">
        <is>
          <t>pcs</t>
        </is>
      </c>
      <c r="F4" s="7" t="inlineStr">
        <is>
          <t>Imported</t>
        </is>
      </c>
      <c r="G4" s="14" t="n">
        <v>60</v>
      </c>
      <c r="H4" s="8" t="n">
        <v>4200</v>
      </c>
      <c r="I4" s="7" t="inlineStr">
        <is>
          <t>USD</t>
        </is>
      </c>
      <c r="J4" s="7" t="n">
        <v>1</v>
      </c>
    </row>
    <row r="5">
      <c r="A5" s="2" t="inlineStr">
        <is>
          <t>EQP-000003</t>
        </is>
      </c>
      <c r="B5" s="2" t="inlineStr">
        <is>
          <t>EQP-03</t>
        </is>
      </c>
      <c r="C5" s="2" t="inlineStr">
        <is>
          <t>پرس هیدرولیک 100 تن</t>
        </is>
      </c>
      <c r="D5" s="2" t="inlineStr">
        <is>
          <t>قاب چهارستونه — 1000×1000</t>
        </is>
      </c>
      <c r="E5" s="2" t="inlineStr">
        <is>
          <t>pcs</t>
        </is>
      </c>
      <c r="F5" s="2" t="inlineStr">
        <is>
          <t>Domestic</t>
        </is>
      </c>
      <c r="G5" s="11" t="n">
        <v>90</v>
      </c>
      <c r="H5" s="5" t="n">
        <v>3000000000</v>
      </c>
      <c r="I5" s="2" t="inlineStr">
        <is>
          <t>IRR</t>
        </is>
      </c>
      <c r="J5" s="2" t="n">
        <v>1</v>
      </c>
    </row>
    <row r="6">
      <c r="A6" s="7" t="inlineStr">
        <is>
          <t>EQP-000004</t>
        </is>
      </c>
      <c r="B6" s="7" t="inlineStr">
        <is>
          <t>EQP-04</t>
        </is>
      </c>
      <c r="C6" s="7" t="inlineStr">
        <is>
          <t>تست‌بنچ پمپ (ادوات دقیق)</t>
        </is>
      </c>
      <c r="D6" s="7" t="inlineStr">
        <is>
          <t>فلومتر تا 300 m3/h + درایو VFD</t>
        </is>
      </c>
      <c r="E6" s="7" t="inlineStr">
        <is>
          <t>set</t>
        </is>
      </c>
      <c r="F6" s="7" t="inlineStr">
        <is>
          <t>Imported</t>
        </is>
      </c>
      <c r="G6" s="14" t="n">
        <v>75</v>
      </c>
      <c r="H6" s="8" t="n">
        <v>12000</v>
      </c>
      <c r="I6" s="7" t="inlineStr">
        <is>
          <t>USD</t>
        </is>
      </c>
      <c r="J6" s="7" t="n">
        <v>1</v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4_1" sqref="B3:J20" password="E2F4"/>
  </protectedRanges>
  <dataValidations count="3">
    <dataValidation sqref="E3:E6" showDropDown="0" showInputMessage="0" showErrorMessage="1" allowBlank="1" errorTitle="Data Validation" error="مقدار خارج از فهرست مجاز است" promptTitle="UoM" prompt="انتخاب از فهرست مجاز برای UoM" type="list">
      <formula1>"pcs,kg,m,m2,liter,set,ton"</formula1>
    </dataValidation>
    <dataValidation sqref="F3:F6" showDropDown="0" showInputMessage="0" showErrorMessage="1" allowBlank="1" errorTitle="Data Validation" error="مقدار خارج از فهرست مجاز است" promptTitle="Origin" prompt="انتخاب از فهرست مجاز برای Origin" type="list">
      <formula1>"Domestic,Imported"</formula1>
    </dataValidation>
    <dataValidation sqref="I3:I6" showDropDown="0" showInputMessage="0" showErrorMessage="1" allowBlank="1" errorTitle="Data Validation" error="مقدار خارج از فهرست مجاز است" promptTitle="Currency" prompt="انتخاب از فهرست مجاز برای Currency" type="list">
      <formula1>"IRR,USD,EUR"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ED7D31"/>
    <outlinePr summaryBelow="1" summaryRight="1"/>
    <pageSetUpPr/>
  </sheetPr>
  <dimension ref="A1:Q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1" customWidth="1" min="4" max="4"/>
    <col width="12" customWidth="1" min="5" max="5"/>
    <col width="21" customWidth="1" min="6" max="6"/>
    <col width="20" customWidth="1" min="7" max="7"/>
    <col width="11" customWidth="1" min="8" max="8"/>
    <col width="11" customWidth="1" min="9" max="9"/>
    <col width="18" customWidth="1" min="10" max="10"/>
    <col width="18" customWidth="1" min="11" max="11"/>
    <col width="21" customWidth="1" min="12" max="12"/>
    <col width="18" customWidth="1" min="13" max="13"/>
    <col width="14" customWidth="1" min="14" max="14"/>
    <col width="12" customWidth="1" min="15" max="15"/>
    <col width="14" customWidth="1" min="16" max="16"/>
    <col width="13" customWidth="1" min="17" max="17"/>
  </cols>
  <sheetData>
    <row r="1">
      <c r="A1" s="1" t="inlineStr">
        <is>
          <t>Project_Equipment</t>
        </is>
      </c>
      <c r="B1" s="3" t="inlineStr">
        <is>
          <t>ستون‌های آبی (B:F) ورودی مهندسی — انتخاب از لیست مرجع تجهیزات؛ ستون‌های قیمت (G:K) فقط ورودی بازرگانی پس از باز شدن گیت بازرگانی. قیمت وارداتی = نرخ ارزی × نرخ ارز (Settings)؛ قیمت نهایی شامل حمل و نصب.</t>
        </is>
      </c>
    </row>
    <row r="2">
      <c r="A2" s="4" t="inlineStr">
        <is>
          <t>System_ID</t>
        </is>
      </c>
      <c r="B2" s="4" t="inlineStr">
        <is>
          <t>Project_ID</t>
        </is>
      </c>
      <c r="C2" s="4" t="inlineStr">
        <is>
          <t>Equipment_ID</t>
        </is>
      </c>
      <c r="D2" s="4" t="inlineStr">
        <is>
          <t>Qty</t>
        </is>
      </c>
      <c r="E2" s="4" t="inlineStr">
        <is>
          <t>Need_Date</t>
        </is>
      </c>
      <c r="F2" s="4" t="inlineStr">
        <is>
          <t>Engineering_Notes</t>
        </is>
      </c>
      <c r="G2" s="4" t="inlineStr">
        <is>
          <t>Unit_Price_Quote</t>
        </is>
      </c>
      <c r="H2" s="4" t="inlineStr">
        <is>
          <t>Currency</t>
        </is>
      </c>
      <c r="I2" s="4" t="inlineStr">
        <is>
          <t>Fx_Rate</t>
        </is>
      </c>
      <c r="J2" s="4" t="inlineStr">
        <is>
          <t>Unit_Price_IRR</t>
        </is>
      </c>
      <c r="K2" s="4" t="inlineStr">
        <is>
          <t>Transport_Cost</t>
        </is>
      </c>
      <c r="L2" s="4" t="inlineStr">
        <is>
          <t>Installation_Cost</t>
        </is>
      </c>
      <c r="M2" s="4" t="inlineStr">
        <is>
          <t>Total_Cost_IRR</t>
        </is>
      </c>
      <c r="N2" s="4" t="inlineStr">
        <is>
          <t>Priced_Flag</t>
        </is>
      </c>
      <c r="O2" s="4" t="inlineStr">
        <is>
          <t>Status_ID</t>
        </is>
      </c>
      <c r="P2" s="4" t="inlineStr">
        <is>
          <t>Create_Date</t>
        </is>
      </c>
      <c r="Q2" s="4" t="inlineStr">
        <is>
          <t>Created_By</t>
        </is>
      </c>
    </row>
    <row r="3">
      <c r="A3" s="2" t="inlineStr">
        <is>
          <t>PEQ-000001</t>
        </is>
      </c>
      <c r="B3" s="2" t="inlineStr">
        <is>
          <t>PRJ-2026-00125</t>
        </is>
      </c>
      <c r="C3" s="2" t="inlineStr">
        <is>
          <t>EQP-000004</t>
        </is>
      </c>
      <c r="D3" s="12" t="n">
        <v>1</v>
      </c>
      <c r="E3" s="10" t="n">
        <v>46351</v>
      </c>
      <c r="F3" s="2" t="inlineStr">
        <is>
          <t>تست عملکردی پمپ‌ها قبل از تحویل — شامل نصب در سایت تست</t>
        </is>
      </c>
      <c r="G3" s="5" t="n">
        <v>12500</v>
      </c>
      <c r="H3" s="2" t="inlineStr">
        <is>
          <t>USD</t>
        </is>
      </c>
      <c r="I3" s="5">
        <f>IF($H3="IRR",1,Settings!$B$13)</f>
        <v/>
      </c>
      <c r="J3" s="5">
        <f>IF($G3="","",ROUND($G3*$I3,0))</f>
        <v/>
      </c>
      <c r="K3" s="5" t="n">
        <v>150000000</v>
      </c>
      <c r="L3" s="5" t="n">
        <v>80000000</v>
      </c>
      <c r="M3" s="5">
        <f>IF($G3="","",ROUND($G3*$I3*$D3+IF(ISNUMBER($K3),$K3,0)+IF(ISNUMBER($L3),$L3,0),0))</f>
        <v/>
      </c>
      <c r="N3" s="5">
        <f>IF($G3="","PENDING","PRICED")</f>
        <v/>
      </c>
      <c r="O3" s="2" t="inlineStr">
        <is>
          <t>Priced</t>
        </is>
      </c>
      <c r="P3" s="10" t="n">
        <v>46297</v>
      </c>
      <c r="Q3" s="10" t="inlineStr">
        <is>
          <t>USR-06</t>
        </is>
      </c>
    </row>
    <row r="4">
      <c r="A4" s="7" t="inlineStr">
        <is>
          <t>PEQ-000002</t>
        </is>
      </c>
      <c r="B4" s="7" t="inlineStr">
        <is>
          <t>PRJ-2026-00125</t>
        </is>
      </c>
      <c r="C4" s="7" t="inlineStr">
        <is>
          <t>EQP-000001</t>
        </is>
      </c>
      <c r="D4" s="15" t="n">
        <v>1</v>
      </c>
      <c r="E4" s="13" t="n">
        <v>46346</v>
      </c>
      <c r="F4" s="7" t="inlineStr">
        <is>
          <t>جابجایی پوسته‌ها در سالن مونتاژ</t>
        </is>
      </c>
      <c r="G4" s="8" t="n">
        <v>8900000000</v>
      </c>
      <c r="H4" s="7" t="inlineStr">
        <is>
          <t>IRR</t>
        </is>
      </c>
      <c r="I4" s="8">
        <f>IF($H4="IRR",1,Settings!$B$13)</f>
        <v/>
      </c>
      <c r="J4" s="8">
        <f>IF($G4="","",ROUND($G4*$I4,0))</f>
        <v/>
      </c>
      <c r="K4" s="8" t="n">
        <v>200000000</v>
      </c>
      <c r="L4" s="8" t="n">
        <v>120000000</v>
      </c>
      <c r="M4" s="8">
        <f>IF($G4="","",ROUND($G4*$I4*$D4+IF(ISNUMBER($K4),$K4,0)+IF(ISNUMBER($L4),$L4,0),0))</f>
        <v/>
      </c>
      <c r="N4" s="8">
        <f>IF($G4="","PENDING","PRICED")</f>
        <v/>
      </c>
      <c r="O4" s="7" t="inlineStr">
        <is>
          <t>Priced</t>
        </is>
      </c>
      <c r="P4" s="13" t="n">
        <v>46297</v>
      </c>
      <c r="Q4" s="13" t="inlineStr">
        <is>
          <t>USR-06</t>
        </is>
      </c>
    </row>
    <row r="5">
      <c r="A5" s="2" t="inlineStr">
        <is>
          <t>PEQ-000003</t>
        </is>
      </c>
      <c r="B5" s="2" t="inlineStr">
        <is>
          <t>PRJ-2026-00126</t>
        </is>
      </c>
      <c r="C5" s="2" t="inlineStr">
        <is>
          <t>EQP-000002</t>
        </is>
      </c>
      <c r="D5" s="12" t="n">
        <v>2</v>
      </c>
      <c r="E5" s="10" t="n">
        <v>46397</v>
      </c>
      <c r="F5" s="2" t="inlineStr">
        <is>
          <t>جوشکاری بدنه — در انتظار تکمیل مهندسی</t>
        </is>
      </c>
      <c r="G5" s="5" t="n"/>
      <c r="H5" s="2" t="inlineStr"/>
      <c r="I5" s="5">
        <f>IF($H5="IRR",1,Settings!$B$13)</f>
        <v/>
      </c>
      <c r="J5" s="5">
        <f>IF($G5="","",ROUND($G5*$I5,0))</f>
        <v/>
      </c>
      <c r="K5" s="5" t="n"/>
      <c r="L5" s="5" t="n"/>
      <c r="M5" s="5">
        <f>IF($G5="","",ROUND($G5*$I5*$D5+IF(ISNUMBER($K5),$K5,0)+IF(ISNUMBER($L5),$L5,0),0))</f>
        <v/>
      </c>
      <c r="N5" s="5">
        <f>IF($G5="","PENDING","PRICED")</f>
        <v/>
      </c>
      <c r="O5" s="2" t="inlineStr">
        <is>
          <t>Pending</t>
        </is>
      </c>
      <c r="P5" s="10" t="n">
        <v>46288</v>
      </c>
      <c r="Q5" s="10" t="inlineStr">
        <is>
          <t>USR-04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4_1" sqref="B3:F20" password="E2F4"/>
    <protectedRange name="ROL-06_2" sqref="G3:L20" password="C926"/>
  </protectedRanges>
  <dataValidations count="4">
    <dataValidation sqref="B3:F45" showDropDown="0" showInputMessage="0" showErrorMessage="1" allowBlank="1" errorTitle="قفل گیت گردش کار" error="گیت ۲: انتخاب تجهیزات پروژه فقط پس از تکمیل امکان‌سنجی (مرحله مهندسی) مجاز است. (وضعیت گیت‌ها: شیت Gate_Status)" promptTitle="قفل گیت گردش کار" prompt="گیت ۲: انتخاب تجهیزات پروژه فقط پس از تکمیل امکان‌سنجی (مرحله مهندسی) مجاز است." type="custom">
      <formula1>=OR($B3="",IFERROR(INDEX(Gate_Status!$O$3:$O$20,MATCH($B3,Gate_Status!$B$3:$B$20,0)),0)=1)</formula1>
    </dataValidation>
    <dataValidation sqref="G3:L45" showDropDown="0" showInputMessage="0" showErrorMessage="1" allowBlank="1" errorTitle="قفل گیت گردش کار" error="گیت ۳: قیمت‌دهی تجهیزات فقط توسط بازرگانی و پس از تکمیل مهندسی مجاز است. (وضعیت گیت‌ها: شیت Gate_Status)" promptTitle="قفل گیت گردش کار" prompt="گیت ۳: قیمت‌دهی تجهیزات فقط توسط بازرگانی و پس از تکمیل مهندسی مجاز است." type="custom">
      <formula1>=OR($B3="",IFERROR(INDEX(Gate_Status!$P$3:$P$20,MATCH($B3,Gate_Status!$B$3:$B$20,0)),0)=1)</formula1>
    </dataValidation>
    <dataValidation sqref="H3:H5" showDropDown="0" showInputMessage="0" showErrorMessage="1" allowBlank="1" errorTitle="Data Validation" error="مقدار خارج از فهرست مجاز است" promptTitle="Currency" prompt="انتخاب از فهرست مجاز برای Currency" type="list">
      <formula1>"IRR,USD,EUR"</formula1>
    </dataValidation>
    <dataValidation sqref="O3:O5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7030A0"/>
    <outlinePr summaryBelow="1" summaryRight="1"/>
    <pageSetUpPr/>
  </sheetPr>
  <dimension ref="A1:J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14" customWidth="1" min="5" max="5"/>
    <col width="14" customWidth="1" min="6" max="6"/>
    <col width="12" customWidth="1" min="7" max="7"/>
    <col width="20" customWidth="1" min="8" max="8"/>
    <col width="14" customWidth="1" min="9" max="9"/>
    <col width="13" customWidth="1" min="10" max="10"/>
  </cols>
  <sheetData>
    <row r="1">
      <c r="A1" s="1" t="inlineStr">
        <is>
          <t>Supplier_Quotes</t>
        </is>
      </c>
      <c r="B1" s="3" t="inlineStr">
        <is>
          <t>استعلام به تفکیک ماده؛ انتخاب تأمین‌کننده در ردیف‌ها (نه فقط کمترین قیمت) توسط مسئول مجاز.</t>
        </is>
      </c>
    </row>
    <row r="2">
      <c r="A2" s="4" t="inlineStr">
        <is>
          <t>System_ID</t>
        </is>
      </c>
      <c r="B2" s="4" t="inlineStr">
        <is>
          <t>Project_ID</t>
        </is>
      </c>
      <c r="C2" s="4" t="inlineStr">
        <is>
          <t>Material_ID</t>
        </is>
      </c>
      <c r="D2" s="4" t="inlineStr">
        <is>
          <t>Qty_Required</t>
        </is>
      </c>
      <c r="E2" s="4" t="inlineStr">
        <is>
          <t>Quoted_Date</t>
        </is>
      </c>
      <c r="F2" s="4" t="inlineStr">
        <is>
          <t>Valid_Until</t>
        </is>
      </c>
      <c r="G2" s="4" t="inlineStr">
        <is>
          <t>Status_ID</t>
        </is>
      </c>
      <c r="H2" s="4" t="inlineStr">
        <is>
          <t>Selected_Line_ID</t>
        </is>
      </c>
      <c r="I2" s="4" t="inlineStr">
        <is>
          <t>Create_Date</t>
        </is>
      </c>
      <c r="J2" s="4" t="inlineStr">
        <is>
          <t>Created_By</t>
        </is>
      </c>
    </row>
    <row r="3">
      <c r="A3" s="2" t="inlineStr">
        <is>
          <t>SQT-2026-00545</t>
        </is>
      </c>
      <c r="B3" s="2" t="inlineStr">
        <is>
          <t>PRJ-2026-00125</t>
        </is>
      </c>
      <c r="C3" s="2" t="inlineStr">
        <is>
          <t>MAT-001545</t>
        </is>
      </c>
      <c r="D3" s="12" t="n">
        <v>2</v>
      </c>
      <c r="E3" s="10" t="n">
        <v>46280</v>
      </c>
      <c r="F3" s="10" t="n">
        <v>46366</v>
      </c>
      <c r="G3" s="2" t="inlineStr">
        <is>
          <t>Closed</t>
        </is>
      </c>
      <c r="H3" s="2" t="inlineStr">
        <is>
          <t>SQL-002354</t>
        </is>
      </c>
      <c r="I3" s="10" t="n">
        <v>46280</v>
      </c>
      <c r="J3" s="10" t="inlineStr">
        <is>
          <t>USR-06</t>
        </is>
      </c>
    </row>
    <row r="4">
      <c r="A4" s="7" t="inlineStr">
        <is>
          <t>SQT-2026-00546</t>
        </is>
      </c>
      <c r="B4" s="7" t="inlineStr">
        <is>
          <t>PRJ-2026-00125</t>
        </is>
      </c>
      <c r="C4" s="7" t="inlineStr">
        <is>
          <t>MAT-001544</t>
        </is>
      </c>
      <c r="D4" s="15" t="n">
        <v>2</v>
      </c>
      <c r="E4" s="13" t="n">
        <v>46280</v>
      </c>
      <c r="F4" s="13" t="n">
        <v>46346</v>
      </c>
      <c r="G4" s="7" t="inlineStr">
        <is>
          <t>Closed</t>
        </is>
      </c>
      <c r="H4" s="7" t="inlineStr">
        <is>
          <t>SQL-002360</t>
        </is>
      </c>
      <c r="I4" s="13" t="n">
        <v>46280</v>
      </c>
      <c r="J4" s="13" t="inlineStr">
        <is>
          <t>USR-06</t>
        </is>
      </c>
    </row>
    <row r="5">
      <c r="A5" s="2" t="inlineStr">
        <is>
          <t>SQT-2026-00547</t>
        </is>
      </c>
      <c r="B5" s="2" t="inlineStr">
        <is>
          <t>PRJ-2026-00125</t>
        </is>
      </c>
      <c r="C5" s="2" t="inlineStr">
        <is>
          <t>MAT-001546</t>
        </is>
      </c>
      <c r="D5" s="12" t="n">
        <v>2</v>
      </c>
      <c r="E5" s="10" t="n">
        <v>46280</v>
      </c>
      <c r="F5" s="10" t="n">
        <v>46357</v>
      </c>
      <c r="G5" s="2" t="inlineStr">
        <is>
          <t>Closed</t>
        </is>
      </c>
      <c r="H5" s="2" t="inlineStr">
        <is>
          <t>SQL-002364</t>
        </is>
      </c>
      <c r="I5" s="10" t="n">
        <v>46280</v>
      </c>
      <c r="J5" s="10" t="inlineStr">
        <is>
          <t>USR-06</t>
        </is>
      </c>
    </row>
    <row r="6">
      <c r="A6" s="7" t="inlineStr">
        <is>
          <t>SQT-2026-00548</t>
        </is>
      </c>
      <c r="B6" s="7" t="inlineStr">
        <is>
          <t>PRJ-2026-00125</t>
        </is>
      </c>
      <c r="C6" s="7" t="inlineStr">
        <is>
          <t>MAT-001548</t>
        </is>
      </c>
      <c r="D6" s="15" t="n">
        <v>2</v>
      </c>
      <c r="E6" s="13" t="n">
        <v>46280</v>
      </c>
      <c r="F6" s="13" t="n">
        <v>46376</v>
      </c>
      <c r="G6" s="7" t="inlineStr">
        <is>
          <t>Closed</t>
        </is>
      </c>
      <c r="H6" s="7" t="inlineStr">
        <is>
          <t>SQL-002368</t>
        </is>
      </c>
      <c r="I6" s="13" t="n">
        <v>46280</v>
      </c>
      <c r="J6" s="13" t="inlineStr">
        <is>
          <t>USR-06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6_1" sqref="B3:H20" password="C926"/>
  </protectedRanges>
  <dataValidations count="2">
    <dataValidation sqref="B3:H46" showDropDown="0" showInputMessage="0" showErrorMessage="1" allowBlank="1" errorTitle="قفل گیت گردش کار" error="گیت ۳: استعلام فقط وقتی حداقل یک پروژه از مهندسی عبور کرده باشد مجاز است. (وضعیت گیت‌ها: شیت Gate_Status)" promptTitle="قفل گیت گردش کار" prompt="گیت ۳: استعلام فقط وقتی حداقل یک پروژه از مهندسی عبور کرده باشد مجاز است." type="custom">
      <formula1>=Gate_Status!$AA$1=1</formula1>
    </dataValidation>
    <dataValidation sqref="G3:G6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7030A0"/>
    <outlinePr summaryBelow="1" summaryRight="1"/>
    <pageSetUpPr/>
  </sheetPr>
  <dimension ref="A1:W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3" customWidth="1" min="4" max="4"/>
    <col width="11" customWidth="1" min="5" max="5"/>
    <col width="11" customWidth="1" min="6" max="6"/>
    <col width="18" customWidth="1" min="7" max="7"/>
    <col width="16" customWidth="1" min="8" max="8"/>
    <col width="11" customWidth="1" min="9" max="9"/>
    <col width="11" customWidth="1" min="10" max="10"/>
    <col width="11" customWidth="1" min="11" max="11"/>
    <col width="15" customWidth="1" min="12" max="12"/>
    <col width="25" customWidth="1" min="13" max="13"/>
    <col width="16" customWidth="1" min="14" max="14"/>
    <col width="15" customWidth="1" min="15" max="15"/>
    <col width="18" customWidth="1" min="16" max="16"/>
    <col width="13" customWidth="1" min="17" max="17"/>
    <col width="19" customWidth="1" min="18" max="18"/>
    <col width="14" customWidth="1" min="19" max="19"/>
    <col width="11" customWidth="1" min="20" max="20"/>
    <col width="19" customWidth="1" min="21" max="21"/>
    <col width="14" customWidth="1" min="22" max="22"/>
    <col width="13" customWidth="1" min="23" max="23"/>
  </cols>
  <sheetData>
    <row r="1">
      <c r="A1" s="1" t="inlineStr">
        <is>
          <t>Supplier_Quote_Lines</t>
        </is>
      </c>
      <c r="B1" s="3" t="inlineStr">
        <is>
          <t>معیارهای قیمت/کیفیت/زمان/ریسک؛ Score_Total صرفاً جنبه مقایسه دارد و سیستم به‌طور خودکار «بهترین» را اعلام نمی‌کند.</t>
        </is>
      </c>
    </row>
    <row r="2">
      <c r="A2" s="4" t="inlineStr">
        <is>
          <t>System_ID</t>
        </is>
      </c>
      <c r="B2" s="4" t="inlineStr">
        <is>
          <t>Supplier_Quote_ID</t>
        </is>
      </c>
      <c r="C2" s="4" t="inlineStr">
        <is>
          <t>Supplier_ID</t>
        </is>
      </c>
      <c r="D2" s="4" t="inlineStr">
        <is>
          <t>Unit_Price</t>
        </is>
      </c>
      <c r="E2" s="4" t="inlineStr">
        <is>
          <t>Currency</t>
        </is>
      </c>
      <c r="F2" s="4" t="inlineStr">
        <is>
          <t>MOQ</t>
        </is>
      </c>
      <c r="G2" s="4" t="inlineStr">
        <is>
          <t>Lead_Time_Days</t>
        </is>
      </c>
      <c r="H2" s="4" t="inlineStr">
        <is>
          <t>Payment_Terms</t>
        </is>
      </c>
      <c r="I2" s="4" t="inlineStr">
        <is>
          <t>Incoterm</t>
        </is>
      </c>
      <c r="J2" s="4" t="inlineStr">
        <is>
          <t>Freight</t>
        </is>
      </c>
      <c r="K2" s="4" t="inlineStr">
        <is>
          <t>Valid_To</t>
        </is>
      </c>
      <c r="L2" s="4" t="inlineStr">
        <is>
          <t>Price_Source</t>
        </is>
      </c>
      <c r="M2" s="4" t="inlineStr">
        <is>
          <t>Price_Confirm_Status</t>
        </is>
      </c>
      <c r="N2" s="4" t="inlineStr">
        <is>
          <t>Quality_Score</t>
        </is>
      </c>
      <c r="O2" s="4" t="inlineStr">
        <is>
          <t>OnTime_Score</t>
        </is>
      </c>
      <c r="P2" s="4" t="inlineStr">
        <is>
          <t>Capacity_Score</t>
        </is>
      </c>
      <c r="Q2" s="4" t="inlineStr">
        <is>
          <t>Risk_Score</t>
        </is>
      </c>
      <c r="R2" s="4" t="inlineStr">
        <is>
          <t>Longevity_Score</t>
        </is>
      </c>
      <c r="S2" s="4" t="inlineStr">
        <is>
          <t>Score_Total</t>
        </is>
      </c>
      <c r="T2" s="4" t="inlineStr">
        <is>
          <t>Selected</t>
        </is>
      </c>
      <c r="U2" s="4" t="inlineStr">
        <is>
          <t>Landed_Estimate</t>
        </is>
      </c>
      <c r="V2" s="4" t="inlineStr">
        <is>
          <t>Create_Date</t>
        </is>
      </c>
      <c r="W2" s="4" t="inlineStr">
        <is>
          <t>Created_By</t>
        </is>
      </c>
    </row>
    <row r="3">
      <c r="A3" s="2" t="inlineStr">
        <is>
          <t>SQL-002354</t>
        </is>
      </c>
      <c r="B3" s="2" t="inlineStr">
        <is>
          <t>SQT-2026-00545</t>
        </is>
      </c>
      <c r="C3" s="2" t="inlineStr">
        <is>
          <t>SUP-000088</t>
        </is>
      </c>
      <c r="D3" s="5" t="n">
        <v>185000000</v>
      </c>
      <c r="E3" s="2" t="inlineStr">
        <is>
          <t>IRR</t>
        </is>
      </c>
      <c r="F3" s="12" t="n">
        <v>1</v>
      </c>
      <c r="G3" s="11" t="n">
        <v>30</v>
      </c>
      <c r="H3" s="2" t="inlineStr">
        <is>
          <t>30 days</t>
        </is>
      </c>
      <c r="I3" s="2" t="inlineStr">
        <is>
          <t>CPT</t>
        </is>
      </c>
      <c r="J3" s="5" t="n">
        <v>2000000</v>
      </c>
      <c r="K3" s="10" t="n">
        <v>46356</v>
      </c>
      <c r="L3" s="5" t="inlineStr">
        <is>
          <t>Email Quote 12-Sep</t>
        </is>
      </c>
      <c r="M3" s="5" t="inlineStr">
        <is>
          <t>Confirmed</t>
        </is>
      </c>
      <c r="N3" s="12" t="n">
        <v>5</v>
      </c>
      <c r="O3" s="12" t="n">
        <v>5</v>
      </c>
      <c r="P3" s="12" t="n">
        <v>4</v>
      </c>
      <c r="Q3" s="12" t="n">
        <v>2</v>
      </c>
      <c r="R3" s="12" t="n">
        <v>3</v>
      </c>
      <c r="S3" s="5">
        <f>SUM($N3:$R3)</f>
        <v/>
      </c>
      <c r="T3" s="2" t="n">
        <v>1</v>
      </c>
      <c r="U3" s="5">
        <f>$D3+$J3</f>
        <v/>
      </c>
      <c r="V3" s="10" t="n">
        <v>46280</v>
      </c>
      <c r="W3" s="10" t="inlineStr">
        <is>
          <t>USR-06</t>
        </is>
      </c>
    </row>
    <row r="4">
      <c r="A4" s="7" t="inlineStr">
        <is>
          <t>SQL-002355</t>
        </is>
      </c>
      <c r="B4" s="7" t="inlineStr">
        <is>
          <t>SQT-2026-00545</t>
        </is>
      </c>
      <c r="C4" s="7" t="inlineStr">
        <is>
          <t>SUP-000089</t>
        </is>
      </c>
      <c r="D4" s="8" t="n">
        <v>172000000</v>
      </c>
      <c r="E4" s="7" t="inlineStr">
        <is>
          <t>IRR</t>
        </is>
      </c>
      <c r="F4" s="15" t="n">
        <v>2</v>
      </c>
      <c r="G4" s="14" t="n">
        <v>45</v>
      </c>
      <c r="H4" s="7" t="inlineStr">
        <is>
          <t>60 days</t>
        </is>
      </c>
      <c r="I4" s="7" t="inlineStr">
        <is>
          <t>CPT</t>
        </is>
      </c>
      <c r="J4" s="8" t="n">
        <v>2500000</v>
      </c>
      <c r="K4" s="13" t="n">
        <v>46341</v>
      </c>
      <c r="L4" s="8" t="inlineStr">
        <is>
          <t>Portal RFQ</t>
        </is>
      </c>
      <c r="M4" s="8" t="inlineStr">
        <is>
          <t>Confirmed</t>
        </is>
      </c>
      <c r="N4" s="15" t="n">
        <v>4</v>
      </c>
      <c r="O4" s="15" t="n">
        <v>4</v>
      </c>
      <c r="P4" s="15" t="n">
        <v>3</v>
      </c>
      <c r="Q4" s="15" t="n">
        <v>3</v>
      </c>
      <c r="R4" s="15" t="n">
        <v>3</v>
      </c>
      <c r="S4" s="8">
        <f>SUM($N4:$R4)</f>
        <v/>
      </c>
      <c r="T4" s="7" t="n">
        <v>0</v>
      </c>
      <c r="U4" s="8">
        <f>$D4+$J4</f>
        <v/>
      </c>
      <c r="V4" s="13" t="n">
        <v>46280</v>
      </c>
      <c r="W4" s="13" t="inlineStr">
        <is>
          <t>USR-06</t>
        </is>
      </c>
    </row>
    <row r="5">
      <c r="A5" s="2" t="inlineStr">
        <is>
          <t>SQL-002356</t>
        </is>
      </c>
      <c r="B5" s="2" t="inlineStr">
        <is>
          <t>SQT-2026-00545</t>
        </is>
      </c>
      <c r="C5" s="2" t="inlineStr">
        <is>
          <t>SUP-000090</t>
        </is>
      </c>
      <c r="D5" s="5" t="n">
        <v>190000000</v>
      </c>
      <c r="E5" s="2" t="inlineStr">
        <is>
          <t>IRR</t>
        </is>
      </c>
      <c r="F5" s="12" t="n">
        <v>1</v>
      </c>
      <c r="G5" s="11" t="n">
        <v>25</v>
      </c>
      <c r="H5" s="2" t="inlineStr">
        <is>
          <t>advance</t>
        </is>
      </c>
      <c r="I5" s="2" t="inlineStr">
        <is>
          <t>EXW</t>
        </is>
      </c>
      <c r="J5" s="5" t="n">
        <v>3000000</v>
      </c>
      <c r="K5" s="10" t="n">
        <v>46366</v>
      </c>
      <c r="L5" s="5" t="inlineStr">
        <is>
          <t>Phone + Email</t>
        </is>
      </c>
      <c r="M5" s="5" t="inlineStr">
        <is>
          <t>Confirmed</t>
        </is>
      </c>
      <c r="N5" s="12" t="n">
        <v>3</v>
      </c>
      <c r="O5" s="12" t="n">
        <v>3</v>
      </c>
      <c r="P5" s="12" t="n">
        <v>2</v>
      </c>
      <c r="Q5" s="12" t="n">
        <v>4</v>
      </c>
      <c r="R5" s="12" t="n">
        <v>2</v>
      </c>
      <c r="S5" s="5">
        <f>SUM($N5:$R5)</f>
        <v/>
      </c>
      <c r="T5" s="2" t="n">
        <v>0</v>
      </c>
      <c r="U5" s="5">
        <f>$D5+$J5</f>
        <v/>
      </c>
      <c r="V5" s="10" t="n">
        <v>46280</v>
      </c>
      <c r="W5" s="10" t="inlineStr">
        <is>
          <t>USR-06</t>
        </is>
      </c>
    </row>
    <row r="6">
      <c r="A6" s="7" t="inlineStr">
        <is>
          <t>SQL-002360</t>
        </is>
      </c>
      <c r="B6" s="7" t="inlineStr">
        <is>
          <t>SQT-2026-00546</t>
        </is>
      </c>
      <c r="C6" s="7" t="inlineStr">
        <is>
          <t>SUP-000089</t>
        </is>
      </c>
      <c r="D6" s="8" t="n">
        <v>95000000</v>
      </c>
      <c r="E6" s="7" t="inlineStr">
        <is>
          <t>IRR</t>
        </is>
      </c>
      <c r="F6" s="15" t="n">
        <v>1</v>
      </c>
      <c r="G6" s="14" t="n">
        <v>25</v>
      </c>
      <c r="H6" s="7" t="inlineStr">
        <is>
          <t>30 days</t>
        </is>
      </c>
      <c r="I6" s="7" t="inlineStr">
        <is>
          <t>CPT</t>
        </is>
      </c>
      <c r="J6" s="8" t="n">
        <v>1200000</v>
      </c>
      <c r="K6" s="13" t="n">
        <v>46346</v>
      </c>
      <c r="L6" s="8" t="inlineStr">
        <is>
          <t>Email Quote 14-Sep</t>
        </is>
      </c>
      <c r="M6" s="8" t="inlineStr">
        <is>
          <t>Confirmed</t>
        </is>
      </c>
      <c r="N6" s="15" t="n">
        <v>5</v>
      </c>
      <c r="O6" s="15" t="n">
        <v>4</v>
      </c>
      <c r="P6" s="15" t="n">
        <v>4</v>
      </c>
      <c r="Q6" s="15" t="n">
        <v>2</v>
      </c>
      <c r="R6" s="15" t="n">
        <v>4</v>
      </c>
      <c r="S6" s="8">
        <f>SUM($N6:$R6)</f>
        <v/>
      </c>
      <c r="T6" s="7" t="n">
        <v>1</v>
      </c>
      <c r="U6" s="8">
        <f>$D6+$J6</f>
        <v/>
      </c>
      <c r="V6" s="13" t="n">
        <v>46280</v>
      </c>
      <c r="W6" s="13" t="inlineStr">
        <is>
          <t>USR-06</t>
        </is>
      </c>
    </row>
    <row r="7">
      <c r="A7" s="2" t="inlineStr">
        <is>
          <t>SQL-002361</t>
        </is>
      </c>
      <c r="B7" s="2" t="inlineStr">
        <is>
          <t>SQT-2026-00546</t>
        </is>
      </c>
      <c r="C7" s="2" t="inlineStr">
        <is>
          <t>SUP-000090</t>
        </is>
      </c>
      <c r="D7" s="5" t="n">
        <v>99000000</v>
      </c>
      <c r="E7" s="2" t="inlineStr">
        <is>
          <t>IRR</t>
        </is>
      </c>
      <c r="F7" s="12" t="n">
        <v>1</v>
      </c>
      <c r="G7" s="11" t="n">
        <v>30</v>
      </c>
      <c r="H7" s="2" t="inlineStr">
        <is>
          <t>45 days</t>
        </is>
      </c>
      <c r="I7" s="2" t="inlineStr">
        <is>
          <t>EXW</t>
        </is>
      </c>
      <c r="J7" s="5" t="n">
        <v>1500000</v>
      </c>
      <c r="K7" s="10" t="n">
        <v>46336</v>
      </c>
      <c r="L7" s="5" t="inlineStr">
        <is>
          <t>Portal RFQ</t>
        </is>
      </c>
      <c r="M7" s="5" t="inlineStr">
        <is>
          <t>Confirmed</t>
        </is>
      </c>
      <c r="N7" s="12" t="n">
        <v>4</v>
      </c>
      <c r="O7" s="12" t="n">
        <v>3</v>
      </c>
      <c r="P7" s="12" t="n">
        <v>3</v>
      </c>
      <c r="Q7" s="12" t="n">
        <v>3</v>
      </c>
      <c r="R7" s="12" t="n">
        <v>3</v>
      </c>
      <c r="S7" s="5">
        <f>SUM($N7:$R7)</f>
        <v/>
      </c>
      <c r="T7" s="2" t="n">
        <v>0</v>
      </c>
      <c r="U7" s="5">
        <f>$D7+$J7</f>
        <v/>
      </c>
      <c r="V7" s="10" t="n">
        <v>46280</v>
      </c>
      <c r="W7" s="10" t="inlineStr">
        <is>
          <t>USR-06</t>
        </is>
      </c>
    </row>
    <row r="8">
      <c r="A8" s="7" t="inlineStr">
        <is>
          <t>SQL-002364</t>
        </is>
      </c>
      <c r="B8" s="7" t="inlineStr">
        <is>
          <t>SQT-2026-00547</t>
        </is>
      </c>
      <c r="C8" s="7" t="inlineStr">
        <is>
          <t>SUP-000087</t>
        </is>
      </c>
      <c r="D8" s="8" t="n">
        <v>2500</v>
      </c>
      <c r="E8" s="7" t="inlineStr">
        <is>
          <t>USD</t>
        </is>
      </c>
      <c r="F8" s="15" t="n">
        <v>1</v>
      </c>
      <c r="G8" s="14" t="n">
        <v>45</v>
      </c>
      <c r="H8" s="7" t="inlineStr">
        <is>
          <t>45 days</t>
        </is>
      </c>
      <c r="I8" s="7" t="inlineStr">
        <is>
          <t>CPT</t>
        </is>
      </c>
      <c r="J8" s="8" t="n">
        <v>30</v>
      </c>
      <c r="K8" s="13" t="n">
        <v>46357</v>
      </c>
      <c r="L8" s="8" t="inlineStr">
        <is>
          <t>Signed Quote</t>
        </is>
      </c>
      <c r="M8" s="8" t="inlineStr">
        <is>
          <t>Confirmed</t>
        </is>
      </c>
      <c r="N8" s="15" t="n">
        <v>5</v>
      </c>
      <c r="O8" s="15" t="n">
        <v>4</v>
      </c>
      <c r="P8" s="15" t="n">
        <v>5</v>
      </c>
      <c r="Q8" s="15" t="n">
        <v>2</v>
      </c>
      <c r="R8" s="15" t="n">
        <v>5</v>
      </c>
      <c r="S8" s="8">
        <f>SUM($N8:$R8)</f>
        <v/>
      </c>
      <c r="T8" s="7" t="n">
        <v>1</v>
      </c>
      <c r="U8" s="8">
        <f>$D8+$J8</f>
        <v/>
      </c>
      <c r="V8" s="13" t="n">
        <v>46280</v>
      </c>
      <c r="W8" s="13" t="inlineStr">
        <is>
          <t>USR-06</t>
        </is>
      </c>
    </row>
    <row r="9">
      <c r="A9" s="2" t="inlineStr">
        <is>
          <t>SQL-002365</t>
        </is>
      </c>
      <c r="B9" s="2" t="inlineStr">
        <is>
          <t>SQT-2026-00547</t>
        </is>
      </c>
      <c r="C9" s="2" t="inlineStr">
        <is>
          <t>SUP-000090</t>
        </is>
      </c>
      <c r="D9" s="5" t="n">
        <v>1220000000</v>
      </c>
      <c r="E9" s="2" t="inlineStr">
        <is>
          <t>IRR</t>
        </is>
      </c>
      <c r="F9" s="12" t="n">
        <v>2</v>
      </c>
      <c r="G9" s="11" t="n">
        <v>60</v>
      </c>
      <c r="H9" s="2" t="inlineStr">
        <is>
          <t>60 days</t>
        </is>
      </c>
      <c r="I9" s="2" t="inlineStr">
        <is>
          <t>EXW</t>
        </is>
      </c>
      <c r="J9" s="5" t="n">
        <v>18000000</v>
      </c>
      <c r="K9" s="10" t="n">
        <v>46351</v>
      </c>
      <c r="L9" s="5" t="inlineStr">
        <is>
          <t>Email Quote</t>
        </is>
      </c>
      <c r="M9" s="5" t="inlineStr">
        <is>
          <t>Confirmed</t>
        </is>
      </c>
      <c r="N9" s="12" t="n">
        <v>4</v>
      </c>
      <c r="O9" s="12" t="n">
        <v>3</v>
      </c>
      <c r="P9" s="12" t="n">
        <v>4</v>
      </c>
      <c r="Q9" s="12" t="n">
        <v>3</v>
      </c>
      <c r="R9" s="12" t="n">
        <v>4</v>
      </c>
      <c r="S9" s="5">
        <f>SUM($N9:$R9)</f>
        <v/>
      </c>
      <c r="T9" s="2" t="n">
        <v>0</v>
      </c>
      <c r="U9" s="5">
        <f>$D9+$J9</f>
        <v/>
      </c>
      <c r="V9" s="10" t="n">
        <v>46280</v>
      </c>
      <c r="W9" s="10" t="inlineStr">
        <is>
          <t>USR-06</t>
        </is>
      </c>
    </row>
    <row r="10">
      <c r="A10" s="7" t="inlineStr">
        <is>
          <t>SQL-002368</t>
        </is>
      </c>
      <c r="B10" s="7" t="inlineStr">
        <is>
          <t>SQT-2026-00548</t>
        </is>
      </c>
      <c r="C10" s="7" t="inlineStr">
        <is>
          <t>SUP-000086</t>
        </is>
      </c>
      <c r="D10" s="8" t="n">
        <v>12000000</v>
      </c>
      <c r="E10" s="7" t="inlineStr">
        <is>
          <t>IRR</t>
        </is>
      </c>
      <c r="F10" s="15" t="n">
        <v>1</v>
      </c>
      <c r="G10" s="14" t="n">
        <v>10</v>
      </c>
      <c r="H10" s="7" t="inlineStr">
        <is>
          <t>cash</t>
        </is>
      </c>
      <c r="I10" s="7" t="inlineStr">
        <is>
          <t>EXW</t>
        </is>
      </c>
      <c r="J10" s="8" t="n">
        <v>0</v>
      </c>
      <c r="K10" s="13" t="n">
        <v>46376</v>
      </c>
      <c r="L10" s="8" t="inlineStr">
        <is>
          <t>Price list</t>
        </is>
      </c>
      <c r="M10" s="8" t="inlineStr">
        <is>
          <t>Confirmed</t>
        </is>
      </c>
      <c r="N10" s="15" t="n">
        <v>4</v>
      </c>
      <c r="O10" s="15" t="n">
        <v>5</v>
      </c>
      <c r="P10" s="15" t="n">
        <v>5</v>
      </c>
      <c r="Q10" s="15" t="n">
        <v>1</v>
      </c>
      <c r="R10" s="15" t="n">
        <v>5</v>
      </c>
      <c r="S10" s="8">
        <f>SUM($N10:$R10)</f>
        <v/>
      </c>
      <c r="T10" s="7" t="n">
        <v>1</v>
      </c>
      <c r="U10" s="8">
        <f>$D10+$J10</f>
        <v/>
      </c>
      <c r="V10" s="13" t="n">
        <v>46280</v>
      </c>
      <c r="W10" s="13" t="inlineStr">
        <is>
          <t>USR-06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6_1" sqref="C3:R30" password="C926"/>
    <protectedRange name="ROL-06_2" sqref="T3:T30" password="C926"/>
  </protectedRanges>
  <dataValidations count="4">
    <dataValidation sqref="C3:T50" showDropDown="0" showInputMessage="0" showErrorMessage="1" allowBlank="1" errorTitle="قفل گیت گردش کار" error="گیت ۳: ثبت ردیف استعلام فقط پس از عبور از مهندسی مجاز است. (وضعیت گیت‌ها: شیت Gate_Status)" promptTitle="قفل گیت گردش کار" prompt="گیت ۳: ثبت ردیف استعلام فقط پس از عبور از مهندسی مجاز است." type="custom">
      <formula1>=Gate_Status!$AA$1=1</formula1>
    </dataValidation>
    <dataValidation sqref="E3:E10" showDropDown="0" showInputMessage="0" showErrorMessage="1" allowBlank="1" errorTitle="Data Validation" error="مقدار خارج از فهرست مجاز است" promptTitle="Currency" prompt="انتخاب از فهرست مجاز برای Currency" type="list">
      <formula1>"IRR,USD,EUR"</formula1>
    </dataValidation>
    <dataValidation sqref="I3:I10" showDropDown="0" showInputMessage="0" showErrorMessage="1" allowBlank="1" errorTitle="Data Validation" error="مقدار خارج از فهرست مجاز است" promptTitle="Incoterm" prompt="انتخاب از فهرست مجاز برای Incoterm" type="list">
      <formula1>"EXW,FCA,CPT,CIP,DAP,DDP"</formula1>
    </dataValidation>
    <dataValidation sqref="M3:M10" showDropDown="0" showInputMessage="0" showErrorMessage="1" allowBlank="1" errorTitle="Data Validation" error="مقدار خارج از فهرست مجاز است" promptTitle="Price_Confirm_Status" prompt="انتخاب از فهرست مجاز برای Price_Confirm_Status" type="list">
      <formula1>"Quoted,Confirmed,Revoked"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7030A0"/>
    <outlinePr summaryBelow="1" summaryRight="1"/>
    <pageSetUpPr/>
  </sheetPr>
  <dimension ref="A1:Z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23" customWidth="1" min="9" max="9"/>
    <col width="14" customWidth="1" min="10" max="10"/>
    <col width="18" customWidth="1" min="11" max="11"/>
    <col width="16" customWidth="1" min="12" max="12"/>
    <col width="11" customWidth="1" min="13" max="13"/>
    <col width="20" customWidth="1" min="14" max="14"/>
    <col width="22" customWidth="1" min="15" max="15"/>
    <col width="20" customWidth="1" min="16" max="16"/>
    <col width="21" customWidth="1" min="17" max="17"/>
    <col width="18" customWidth="1" min="18" max="18"/>
    <col width="20" customWidth="1" min="19" max="19"/>
    <col width="13" customWidth="1" min="20" max="20"/>
    <col width="15" customWidth="1" min="21" max="21"/>
    <col width="18" customWidth="1" min="22" max="22"/>
    <col width="22" customWidth="1" min="23" max="23"/>
    <col width="12" customWidth="1" min="24" max="24"/>
    <col width="14" customWidth="1" min="25" max="25"/>
    <col width="13" customWidth="1" min="26" max="26"/>
  </cols>
  <sheetData>
    <row r="1">
      <c r="A1" s="1" t="inlineStr">
        <is>
          <t>Procurement</t>
        </is>
      </c>
      <c r="B1" s="3" t="inlineStr">
        <is>
          <t>تصمیم خرید تأییدشده + Price Build-up: Unit + Freight + Insurance + Customs + Handling + Other = Landed (با تبدیل ارز).</t>
        </is>
      </c>
    </row>
    <row r="2">
      <c r="A2" s="4" t="inlineStr">
        <is>
          <t>System_ID</t>
        </is>
      </c>
      <c r="B2" s="4" t="inlineStr">
        <is>
          <t>Project_ID</t>
        </is>
      </c>
      <c r="C2" s="4" t="inlineStr">
        <is>
          <t>Material_ID</t>
        </is>
      </c>
      <c r="D2" s="4" t="inlineStr">
        <is>
          <t>Supplier_ID</t>
        </is>
      </c>
      <c r="E2" s="4" t="inlineStr">
        <is>
          <t>Buyer</t>
        </is>
      </c>
      <c r="F2" s="4" t="inlineStr">
        <is>
          <t>Currency</t>
        </is>
      </c>
      <c r="G2" s="4" t="inlineStr">
        <is>
          <t>Fx_Rate</t>
        </is>
      </c>
      <c r="H2" s="4" t="inlineStr">
        <is>
          <t>Buy_Qty</t>
        </is>
      </c>
      <c r="I2" s="4" t="inlineStr">
        <is>
          <t>Unit_Purchase_Price</t>
        </is>
      </c>
      <c r="J2" s="4" t="inlineStr">
        <is>
          <t>MOQ_Applied</t>
        </is>
      </c>
      <c r="K2" s="4" t="inlineStr">
        <is>
          <t>Lead_Time_Days</t>
        </is>
      </c>
      <c r="L2" s="4" t="inlineStr">
        <is>
          <t>Payment_Terms</t>
        </is>
      </c>
      <c r="M2" s="4" t="inlineStr">
        <is>
          <t>Incoterm</t>
        </is>
      </c>
      <c r="N2" s="4" t="inlineStr">
        <is>
          <t>Freight_Per_Unit</t>
        </is>
      </c>
      <c r="O2" s="4" t="inlineStr">
        <is>
          <t>Insurance_Per_Unit</t>
        </is>
      </c>
      <c r="P2" s="4" t="inlineStr">
        <is>
          <t>Customs_Per_Unit</t>
        </is>
      </c>
      <c r="Q2" s="4" t="inlineStr">
        <is>
          <t>Handling_Per_Unit</t>
        </is>
      </c>
      <c r="R2" s="4" t="inlineStr">
        <is>
          <t>Other_Per_Unit</t>
        </is>
      </c>
      <c r="S2" s="4" t="inlineStr">
        <is>
          <t>Landed_Cost_Unit</t>
        </is>
      </c>
      <c r="T2" s="4" t="inlineStr">
        <is>
          <t>Price_Date</t>
        </is>
      </c>
      <c r="U2" s="4" t="inlineStr">
        <is>
          <t>Price_Source</t>
        </is>
      </c>
      <c r="V2" s="4" t="inlineStr">
        <is>
          <t>Price_Valid_To</t>
        </is>
      </c>
      <c r="W2" s="4" t="inlineStr">
        <is>
          <t>Price_Expired_Flag</t>
        </is>
      </c>
      <c r="X2" s="4" t="inlineStr">
        <is>
          <t>Status_ID</t>
        </is>
      </c>
      <c r="Y2" s="4" t="inlineStr">
        <is>
          <t>Create_Date</t>
        </is>
      </c>
      <c r="Z2" s="4" t="inlineStr">
        <is>
          <t>Created_By</t>
        </is>
      </c>
    </row>
    <row r="3">
      <c r="A3" s="2" t="inlineStr">
        <is>
          <t>PRC-0001</t>
        </is>
      </c>
      <c r="B3" s="2" t="inlineStr">
        <is>
          <t>PRJ-2026-00125</t>
        </is>
      </c>
      <c r="C3" s="2" t="inlineStr">
        <is>
          <t>MAT-001545</t>
        </is>
      </c>
      <c r="D3" s="2" t="inlineStr">
        <is>
          <t>SUP-000088</t>
        </is>
      </c>
      <c r="E3" s="2" t="inlineStr">
        <is>
          <t>USR-06</t>
        </is>
      </c>
      <c r="F3" s="2" t="inlineStr">
        <is>
          <t>IRR</t>
        </is>
      </c>
      <c r="G3" s="5" t="n">
        <v>1</v>
      </c>
      <c r="H3" s="12" t="n">
        <v>2</v>
      </c>
      <c r="I3" s="5" t="n">
        <v>185000000</v>
      </c>
      <c r="J3" s="12" t="n">
        <v>1</v>
      </c>
      <c r="K3" s="11" t="n">
        <v>30</v>
      </c>
      <c r="L3" s="2" t="inlineStr">
        <is>
          <t>30 days</t>
        </is>
      </c>
      <c r="M3" s="2" t="inlineStr">
        <is>
          <t>CPT</t>
        </is>
      </c>
      <c r="N3" s="5" t="n">
        <v>2000000</v>
      </c>
      <c r="O3" s="5" t="n">
        <v>0</v>
      </c>
      <c r="P3" s="5" t="n">
        <v>0</v>
      </c>
      <c r="Q3" s="5" t="n">
        <v>0</v>
      </c>
      <c r="R3" s="5" t="n">
        <v>0</v>
      </c>
      <c r="S3" s="5">
        <f>ROUND(($I3+$N3+$O3+$P3+$Q3+$R3)*$G3,0)</f>
        <v/>
      </c>
      <c r="T3" s="10" t="n">
        <v>46280</v>
      </c>
      <c r="U3" s="5" t="inlineStr">
        <is>
          <t>Email Quote 12-Sep</t>
        </is>
      </c>
      <c r="V3" s="10" t="n">
        <v>46356</v>
      </c>
      <c r="W3" s="5">
        <f>IF(ISBLANK($V3),"",IF($V3&lt;TODAY(),1,0))</f>
        <v/>
      </c>
      <c r="X3" s="2" t="inlineStr">
        <is>
          <t>Approved</t>
        </is>
      </c>
      <c r="Y3" s="10" t="n">
        <v>46293</v>
      </c>
      <c r="Z3" s="10" t="inlineStr">
        <is>
          <t>USR-06</t>
        </is>
      </c>
    </row>
    <row r="4">
      <c r="A4" s="7" t="inlineStr">
        <is>
          <t>PRC-0002</t>
        </is>
      </c>
      <c r="B4" s="7" t="inlineStr">
        <is>
          <t>PRJ-2026-00125</t>
        </is>
      </c>
      <c r="C4" s="7" t="inlineStr">
        <is>
          <t>MAT-001544</t>
        </is>
      </c>
      <c r="D4" s="7" t="inlineStr">
        <is>
          <t>SUP-000089</t>
        </is>
      </c>
      <c r="E4" s="7" t="inlineStr">
        <is>
          <t>USR-06</t>
        </is>
      </c>
      <c r="F4" s="7" t="inlineStr">
        <is>
          <t>IRR</t>
        </is>
      </c>
      <c r="G4" s="8" t="n">
        <v>1</v>
      </c>
      <c r="H4" s="15" t="n">
        <v>2</v>
      </c>
      <c r="I4" s="8" t="n">
        <v>95000000</v>
      </c>
      <c r="J4" s="15" t="n">
        <v>1</v>
      </c>
      <c r="K4" s="14" t="n">
        <v>25</v>
      </c>
      <c r="L4" s="7" t="inlineStr">
        <is>
          <t>30 days</t>
        </is>
      </c>
      <c r="M4" s="7" t="inlineStr">
        <is>
          <t>CPT</t>
        </is>
      </c>
      <c r="N4" s="8" t="n">
        <v>1200000</v>
      </c>
      <c r="O4" s="8" t="n">
        <v>0</v>
      </c>
      <c r="P4" s="8" t="n">
        <v>0</v>
      </c>
      <c r="Q4" s="8" t="n">
        <v>0</v>
      </c>
      <c r="R4" s="8" t="n">
        <v>0</v>
      </c>
      <c r="S4" s="8">
        <f>ROUND(($I4+$N4+$O4+$P4+$Q4+$R4)*$G4,0)</f>
        <v/>
      </c>
      <c r="T4" s="13" t="n">
        <v>46280</v>
      </c>
      <c r="U4" s="8" t="inlineStr">
        <is>
          <t>Email Quote 14-Sep</t>
        </is>
      </c>
      <c r="V4" s="13" t="n">
        <v>46346</v>
      </c>
      <c r="W4" s="8">
        <f>IF(ISBLANK($V4),"",IF($V4&lt;TODAY(),1,0))</f>
        <v/>
      </c>
      <c r="X4" s="7" t="inlineStr">
        <is>
          <t>Approved</t>
        </is>
      </c>
      <c r="Y4" s="13" t="n">
        <v>46293</v>
      </c>
      <c r="Z4" s="13" t="inlineStr">
        <is>
          <t>USR-06</t>
        </is>
      </c>
    </row>
    <row r="5">
      <c r="A5" s="2" t="inlineStr">
        <is>
          <t>PRC-0003</t>
        </is>
      </c>
      <c r="B5" s="2" t="inlineStr">
        <is>
          <t>PRJ-2026-00125</t>
        </is>
      </c>
      <c r="C5" s="2" t="inlineStr">
        <is>
          <t>MAT-001546</t>
        </is>
      </c>
      <c r="D5" s="2" t="inlineStr">
        <is>
          <t>SUP-000087</t>
        </is>
      </c>
      <c r="E5" s="2" t="inlineStr">
        <is>
          <t>USR-06</t>
        </is>
      </c>
      <c r="F5" s="2" t="inlineStr">
        <is>
          <t>USD</t>
        </is>
      </c>
      <c r="G5" s="5" t="n">
        <v>500000</v>
      </c>
      <c r="H5" s="12" t="n">
        <v>2</v>
      </c>
      <c r="I5" s="5" t="n">
        <v>2500</v>
      </c>
      <c r="J5" s="12" t="n">
        <v>1</v>
      </c>
      <c r="K5" s="11" t="n">
        <v>45</v>
      </c>
      <c r="L5" s="2" t="inlineStr">
        <is>
          <t>45 days</t>
        </is>
      </c>
      <c r="M5" s="2" t="inlineStr">
        <is>
          <t>CPT</t>
        </is>
      </c>
      <c r="N5" s="5" t="n">
        <v>30</v>
      </c>
      <c r="O5" s="5" t="n">
        <v>0</v>
      </c>
      <c r="P5" s="5" t="n">
        <v>0</v>
      </c>
      <c r="Q5" s="5" t="n">
        <v>0</v>
      </c>
      <c r="R5" s="5" t="n">
        <v>0</v>
      </c>
      <c r="S5" s="5">
        <f>ROUND(($I5+$N5+$O5+$P5+$Q5+$R5)*$G5,0)</f>
        <v/>
      </c>
      <c r="T5" s="10" t="n">
        <v>46280</v>
      </c>
      <c r="U5" s="5" t="inlineStr">
        <is>
          <t>Signed Quote</t>
        </is>
      </c>
      <c r="V5" s="10" t="n">
        <v>46357</v>
      </c>
      <c r="W5" s="5">
        <f>IF(ISBLANK($V5),"",IF($V5&lt;TODAY(),1,0))</f>
        <v/>
      </c>
      <c r="X5" s="2" t="inlineStr">
        <is>
          <t>Approved</t>
        </is>
      </c>
      <c r="Y5" s="10" t="n">
        <v>46293</v>
      </c>
      <c r="Z5" s="10" t="inlineStr">
        <is>
          <t>USR-06</t>
        </is>
      </c>
    </row>
    <row r="6">
      <c r="A6" s="7" t="inlineStr">
        <is>
          <t>PRC-0004</t>
        </is>
      </c>
      <c r="B6" s="7" t="inlineStr">
        <is>
          <t>PRJ-2026-00125</t>
        </is>
      </c>
      <c r="C6" s="7" t="inlineStr">
        <is>
          <t>MAT-001548</t>
        </is>
      </c>
      <c r="D6" s="7" t="inlineStr">
        <is>
          <t>SUP-000086</t>
        </is>
      </c>
      <c r="E6" s="7" t="inlineStr">
        <is>
          <t>USR-06</t>
        </is>
      </c>
      <c r="F6" s="7" t="inlineStr">
        <is>
          <t>IRR</t>
        </is>
      </c>
      <c r="G6" s="8" t="n">
        <v>1</v>
      </c>
      <c r="H6" s="15" t="n">
        <v>2</v>
      </c>
      <c r="I6" s="8" t="n">
        <v>12000000</v>
      </c>
      <c r="J6" s="15" t="n">
        <v>1</v>
      </c>
      <c r="K6" s="14" t="n">
        <v>10</v>
      </c>
      <c r="L6" s="7" t="inlineStr">
        <is>
          <t>cash</t>
        </is>
      </c>
      <c r="M6" s="7" t="inlineStr">
        <is>
          <t>EXW</t>
        </is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>
        <f>ROUND(($I6+$N6+$O6+$P6+$Q6+$R6)*$G6,0)</f>
        <v/>
      </c>
      <c r="T6" s="13" t="n">
        <v>46280</v>
      </c>
      <c r="U6" s="8" t="inlineStr">
        <is>
          <t>Price list</t>
        </is>
      </c>
      <c r="V6" s="13" t="n">
        <v>46376</v>
      </c>
      <c r="W6" s="8">
        <f>IF(ISBLANK($V6),"",IF($V6&lt;TODAY(),1,0))</f>
        <v/>
      </c>
      <c r="X6" s="7" t="inlineStr">
        <is>
          <t>Approved</t>
        </is>
      </c>
      <c r="Y6" s="13" t="n">
        <v>46293</v>
      </c>
      <c r="Z6" s="13" t="inlineStr">
        <is>
          <t>USR-06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6_1" sqref="C3:R20" password="C926"/>
    <protectedRange name="ROL-06_2" sqref="T3:V20" password="C926"/>
  </protectedRanges>
  <conditionalFormatting sqref="W3:W6">
    <cfRule type="cellIs" priority="1" operator="equal" dxfId="0">
      <formula>1</formula>
    </cfRule>
    <cfRule type="cellIs" priority="2" operator="equal" dxfId="1">
      <formula>0</formula>
    </cfRule>
  </conditionalFormatting>
  <dataValidations count="4">
    <dataValidation sqref="C3:V46" showDropDown="0" showInputMessage="0" showErrorMessage="1" allowBlank="1" errorTitle="قفل گیت گردش کار" error="گیت ۳: ثبت خرید فقط پس از تکمیل مرحله مهندسی مجاز است. (وضعیت گیت‌ها: شیت Gate_Status)" promptTitle="قفل گیت گردش کار" prompt="گیت ۳: ثبت خرید فقط پس از تکمیل مرحله مهندسی مجاز است." type="custom">
      <formula1>=Gate_Status!$AC$1=1</formula1>
    </dataValidation>
    <dataValidation sqref="F3:F6" showDropDown="0" showInputMessage="0" showErrorMessage="1" allowBlank="1" errorTitle="Data Validation" error="مقدار خارج از فهرست مجاز است" promptTitle="Currency" prompt="انتخاب از فهرست مجاز برای Currency" type="list">
      <formula1>"IRR,USD,EUR"</formula1>
    </dataValidation>
    <dataValidation sqref="M3:M6" showDropDown="0" showInputMessage="0" showErrorMessage="1" allowBlank="1" errorTitle="Data Validation" error="مقدار خارج از فهرست مجاز است" promptTitle="Incoterm" prompt="انتخاب از فهرست مجاز برای Incoterm" type="list">
      <formula1>"EXW,FCA,CPT,CIP,DAP,DDP"</formula1>
    </dataValidation>
    <dataValidation sqref="X3:X6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7030A0"/>
    <outlinePr summaryBelow="1" summaryRight="1"/>
    <pageSetUpPr/>
  </sheetPr>
  <dimension ref="A1:V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1" customWidth="1" min="4" max="4"/>
    <col width="13" customWidth="1" min="5" max="5"/>
    <col width="15" customWidth="1" min="6" max="6"/>
    <col width="11" customWidth="1" min="7" max="7"/>
    <col width="11" customWidth="1" min="8" max="8"/>
    <col width="13" customWidth="1" min="9" max="9"/>
    <col width="20" customWidth="1" min="10" max="10"/>
    <col width="22" customWidth="1" min="11" max="11"/>
    <col width="20" customWidth="1" min="12" max="12"/>
    <col width="21" customWidth="1" min="13" max="13"/>
    <col width="18" customWidth="1" min="14" max="14"/>
    <col width="20" customWidth="1" min="15" max="15"/>
    <col width="13" customWidth="1" min="16" max="16"/>
    <col width="11" customWidth="1" min="17" max="17"/>
    <col width="15" customWidth="1" min="18" max="18"/>
    <col width="12" customWidth="1" min="19" max="19"/>
    <col width="14" customWidth="1" min="20" max="20"/>
    <col width="14" customWidth="1" min="21" max="21"/>
    <col width="13" customWidth="1" min="22" max="22"/>
  </cols>
  <sheetData>
    <row r="1">
      <c r="A1" s="1" t="inlineStr">
        <is>
          <t>Purchase_Prices</t>
        </is>
      </c>
      <c r="B1" s="3" t="inlineStr">
        <is>
          <t>قیمت خرید با Revision؛ Expired_Flag=1 یعنی قیمت منقضی و از Costing کنار گذاشته می‌شود. Landed=(اجزا)×Fx.</t>
        </is>
      </c>
    </row>
    <row r="2">
      <c r="A2" s="4" t="inlineStr">
        <is>
          <t>System_ID</t>
        </is>
      </c>
      <c r="B2" s="4" t="inlineStr">
        <is>
          <t>Material_ID</t>
        </is>
      </c>
      <c r="C2" s="4" t="inlineStr">
        <is>
          <t>Supplier_ID</t>
        </is>
      </c>
      <c r="D2" s="4" t="inlineStr">
        <is>
          <t>Revision</t>
        </is>
      </c>
      <c r="E2" s="4" t="inlineStr">
        <is>
          <t>Price_Date</t>
        </is>
      </c>
      <c r="F2" s="4" t="inlineStr">
        <is>
          <t>Price_Source</t>
        </is>
      </c>
      <c r="G2" s="4" t="inlineStr">
        <is>
          <t>Currency</t>
        </is>
      </c>
      <c r="H2" s="4" t="inlineStr">
        <is>
          <t>Fx_Rate</t>
        </is>
      </c>
      <c r="I2" s="4" t="inlineStr">
        <is>
          <t>Unit_Price</t>
        </is>
      </c>
      <c r="J2" s="4" t="inlineStr">
        <is>
          <t>Freight_Per_Unit</t>
        </is>
      </c>
      <c r="K2" s="4" t="inlineStr">
        <is>
          <t>Insurance_Per_Unit</t>
        </is>
      </c>
      <c r="L2" s="4" t="inlineStr">
        <is>
          <t>Customs_Per_Unit</t>
        </is>
      </c>
      <c r="M2" s="4" t="inlineStr">
        <is>
          <t>Handling_Per_Unit</t>
        </is>
      </c>
      <c r="N2" s="4" t="inlineStr">
        <is>
          <t>Other_Per_Unit</t>
        </is>
      </c>
      <c r="O2" s="4" t="inlineStr">
        <is>
          <t>Landed_Cost_Unit</t>
        </is>
      </c>
      <c r="P2" s="4" t="inlineStr">
        <is>
          <t>Valid_From</t>
        </is>
      </c>
      <c r="Q2" s="4" t="inlineStr">
        <is>
          <t>Valid_To</t>
        </is>
      </c>
      <c r="R2" s="4" t="inlineStr">
        <is>
          <t>Expired_Flag</t>
        </is>
      </c>
      <c r="S2" s="4" t="inlineStr">
        <is>
          <t>Status_ID</t>
        </is>
      </c>
      <c r="T2" s="4" t="inlineStr">
        <is>
          <t>Approved_By</t>
        </is>
      </c>
      <c r="U2" s="4" t="inlineStr">
        <is>
          <t>Create_Date</t>
        </is>
      </c>
      <c r="V2" s="4" t="inlineStr">
        <is>
          <t>Created_By</t>
        </is>
      </c>
    </row>
    <row r="3">
      <c r="A3" s="2" t="inlineStr">
        <is>
          <t>PPR-000554</t>
        </is>
      </c>
      <c r="B3" s="2" t="inlineStr">
        <is>
          <t>MAT-001542</t>
        </is>
      </c>
      <c r="C3" s="2" t="inlineStr">
        <is>
          <t>SUP-000090</t>
        </is>
      </c>
      <c r="D3" s="2" t="inlineStr">
        <is>
          <t>R01</t>
        </is>
      </c>
      <c r="E3" s="10" t="n">
        <v>46280</v>
      </c>
      <c r="F3" s="5" t="inlineStr">
        <is>
          <t>Signed Quote</t>
        </is>
      </c>
      <c r="G3" s="2" t="inlineStr">
        <is>
          <t>USD</t>
        </is>
      </c>
      <c r="H3" s="5" t="n">
        <v>500000</v>
      </c>
      <c r="I3" s="5" t="n">
        <v>1.15</v>
      </c>
      <c r="J3" s="5" t="n">
        <v>0.05</v>
      </c>
      <c r="K3" s="5" t="n">
        <v>0</v>
      </c>
      <c r="L3" s="5" t="n">
        <v>0</v>
      </c>
      <c r="M3" s="5" t="n">
        <v>0</v>
      </c>
      <c r="N3" s="5" t="n">
        <v>0</v>
      </c>
      <c r="O3" s="5">
        <f>ROUND(($I3+$J3+$K3+$L3+$M3+$N3)*$H3,0)</f>
        <v/>
      </c>
      <c r="P3" s="10" t="n">
        <v>46280</v>
      </c>
      <c r="Q3" s="10" t="n">
        <v>46356</v>
      </c>
      <c r="R3" s="2">
        <f>IF(ISBLANK($Q3),1,IF($Q3&lt;TODAY(),1,0))</f>
        <v/>
      </c>
      <c r="S3" s="2" t="inlineStr">
        <is>
          <t>Approved</t>
        </is>
      </c>
      <c r="T3" s="2" t="inlineStr">
        <is>
          <t>USR-06</t>
        </is>
      </c>
      <c r="U3" s="10" t="n">
        <v>46280</v>
      </c>
      <c r="V3" s="10" t="inlineStr">
        <is>
          <t>USR-06</t>
        </is>
      </c>
    </row>
    <row r="4">
      <c r="A4" s="7" t="inlineStr">
        <is>
          <t>PPR-000555</t>
        </is>
      </c>
      <c r="B4" s="7" t="inlineStr">
        <is>
          <t>MAT-001543</t>
        </is>
      </c>
      <c r="C4" s="7" t="inlineStr">
        <is>
          <t>SUP-000090</t>
        </is>
      </c>
      <c r="D4" s="7" t="inlineStr">
        <is>
          <t>R01</t>
        </is>
      </c>
      <c r="E4" s="13" t="n">
        <v>46280</v>
      </c>
      <c r="F4" s="8" t="inlineStr">
        <is>
          <t>Signed Quote</t>
        </is>
      </c>
      <c r="G4" s="7" t="inlineStr">
        <is>
          <t>USD</t>
        </is>
      </c>
      <c r="H4" s="8" t="n">
        <v>500000</v>
      </c>
      <c r="I4" s="8" t="n">
        <v>3.2</v>
      </c>
      <c r="J4" s="8" t="n">
        <v>0.05</v>
      </c>
      <c r="K4" s="8" t="n">
        <v>0</v>
      </c>
      <c r="L4" s="8" t="n">
        <v>0</v>
      </c>
      <c r="M4" s="8" t="n">
        <v>0</v>
      </c>
      <c r="N4" s="8" t="n">
        <v>0</v>
      </c>
      <c r="O4" s="8">
        <f>ROUND(($I4+$J4+$K4+$L4+$M4+$N4)*$H4,0)</f>
        <v/>
      </c>
      <c r="P4" s="13" t="n">
        <v>46280</v>
      </c>
      <c r="Q4" s="13" t="n">
        <v>46356</v>
      </c>
      <c r="R4" s="7">
        <f>IF(ISBLANK($Q4),1,IF($Q4&lt;TODAY(),1,0))</f>
        <v/>
      </c>
      <c r="S4" s="7" t="inlineStr">
        <is>
          <t>Approved</t>
        </is>
      </c>
      <c r="T4" s="7" t="inlineStr">
        <is>
          <t>USR-06</t>
        </is>
      </c>
      <c r="U4" s="13" t="n">
        <v>46280</v>
      </c>
      <c r="V4" s="13" t="inlineStr">
        <is>
          <t>USR-06</t>
        </is>
      </c>
    </row>
    <row r="5">
      <c r="A5" s="2" t="inlineStr">
        <is>
          <t>PPR-000556</t>
        </is>
      </c>
      <c r="B5" s="2" t="inlineStr">
        <is>
          <t>MAT-001544</t>
        </is>
      </c>
      <c r="C5" s="2" t="inlineStr">
        <is>
          <t>SUP-000089</t>
        </is>
      </c>
      <c r="D5" s="2" t="inlineStr">
        <is>
          <t>R01</t>
        </is>
      </c>
      <c r="E5" s="10" t="n">
        <v>46280</v>
      </c>
      <c r="F5" s="5" t="inlineStr">
        <is>
          <t>Email Quote</t>
        </is>
      </c>
      <c r="G5" s="2" t="inlineStr">
        <is>
          <t>IRR</t>
        </is>
      </c>
      <c r="H5" s="5" t="n">
        <v>1</v>
      </c>
      <c r="I5" s="5" t="n">
        <v>95000000</v>
      </c>
      <c r="J5" s="5" t="n">
        <v>1200000</v>
      </c>
      <c r="K5" s="5" t="n">
        <v>0</v>
      </c>
      <c r="L5" s="5" t="n">
        <v>0</v>
      </c>
      <c r="M5" s="5" t="n">
        <v>0</v>
      </c>
      <c r="N5" s="5" t="n">
        <v>0</v>
      </c>
      <c r="O5" s="5">
        <f>ROUND(($I5+$J5+$K5+$L5+$M5+$N5)*$H5,0)</f>
        <v/>
      </c>
      <c r="P5" s="10" t="n">
        <v>46280</v>
      </c>
      <c r="Q5" s="10" t="n">
        <v>46346</v>
      </c>
      <c r="R5" s="2">
        <f>IF(ISBLANK($Q5),1,IF($Q5&lt;TODAY(),1,0))</f>
        <v/>
      </c>
      <c r="S5" s="2" t="inlineStr">
        <is>
          <t>Approved</t>
        </is>
      </c>
      <c r="T5" s="2" t="inlineStr">
        <is>
          <t>USR-06</t>
        </is>
      </c>
      <c r="U5" s="10" t="n">
        <v>46280</v>
      </c>
      <c r="V5" s="10" t="inlineStr">
        <is>
          <t>USR-06</t>
        </is>
      </c>
    </row>
    <row r="6">
      <c r="A6" s="7" t="inlineStr">
        <is>
          <t>PPR-000557</t>
        </is>
      </c>
      <c r="B6" s="7" t="inlineStr">
        <is>
          <t>MAT-001545</t>
        </is>
      </c>
      <c r="C6" s="7" t="inlineStr">
        <is>
          <t>SUP-000088</t>
        </is>
      </c>
      <c r="D6" s="7" t="inlineStr">
        <is>
          <t>R01</t>
        </is>
      </c>
      <c r="E6" s="13" t="n">
        <v>46280</v>
      </c>
      <c r="F6" s="8" t="inlineStr">
        <is>
          <t>Email Quote</t>
        </is>
      </c>
      <c r="G6" s="7" t="inlineStr">
        <is>
          <t>IRR</t>
        </is>
      </c>
      <c r="H6" s="8" t="n">
        <v>1</v>
      </c>
      <c r="I6" s="8" t="n">
        <v>185000000</v>
      </c>
      <c r="J6" s="8" t="n">
        <v>2000000</v>
      </c>
      <c r="K6" s="8" t="n">
        <v>0</v>
      </c>
      <c r="L6" s="8" t="n">
        <v>0</v>
      </c>
      <c r="M6" s="8" t="n">
        <v>0</v>
      </c>
      <c r="N6" s="8" t="n">
        <v>0</v>
      </c>
      <c r="O6" s="8">
        <f>ROUND(($I6+$J6+$K6+$L6+$M6+$N6)*$H6,0)</f>
        <v/>
      </c>
      <c r="P6" s="13" t="n">
        <v>46280</v>
      </c>
      <c r="Q6" s="13" t="n">
        <v>46356</v>
      </c>
      <c r="R6" s="7">
        <f>IF(ISBLANK($Q6),1,IF($Q6&lt;TODAY(),1,0))</f>
        <v/>
      </c>
      <c r="S6" s="7" t="inlineStr">
        <is>
          <t>Approved</t>
        </is>
      </c>
      <c r="T6" s="7" t="inlineStr">
        <is>
          <t>USR-06</t>
        </is>
      </c>
      <c r="U6" s="13" t="n">
        <v>46280</v>
      </c>
      <c r="V6" s="13" t="inlineStr">
        <is>
          <t>USR-06</t>
        </is>
      </c>
    </row>
    <row r="7">
      <c r="A7" s="2" t="inlineStr">
        <is>
          <t>PPR-000558</t>
        </is>
      </c>
      <c r="B7" s="2" t="inlineStr">
        <is>
          <t>MAT-001546</t>
        </is>
      </c>
      <c r="C7" s="2" t="inlineStr">
        <is>
          <t>SUP-000087</t>
        </is>
      </c>
      <c r="D7" s="2" t="inlineStr">
        <is>
          <t>R01</t>
        </is>
      </c>
      <c r="E7" s="10" t="n">
        <v>46280</v>
      </c>
      <c r="F7" s="5" t="inlineStr">
        <is>
          <t>Signed Quote</t>
        </is>
      </c>
      <c r="G7" s="2" t="inlineStr">
        <is>
          <t>USD</t>
        </is>
      </c>
      <c r="H7" s="5" t="n">
        <v>500000</v>
      </c>
      <c r="I7" s="5" t="n">
        <v>2500</v>
      </c>
      <c r="J7" s="5" t="n">
        <v>30</v>
      </c>
      <c r="K7" s="5" t="n">
        <v>0</v>
      </c>
      <c r="L7" s="5" t="n">
        <v>0</v>
      </c>
      <c r="M7" s="5" t="n">
        <v>0</v>
      </c>
      <c r="N7" s="5" t="n">
        <v>0</v>
      </c>
      <c r="O7" s="5">
        <f>ROUND(($I7+$J7+$K7+$L7+$M7+$N7)*$H7,0)</f>
        <v/>
      </c>
      <c r="P7" s="10" t="n">
        <v>46280</v>
      </c>
      <c r="Q7" s="10" t="n">
        <v>46357</v>
      </c>
      <c r="R7" s="2">
        <f>IF(ISBLANK($Q7),1,IF($Q7&lt;TODAY(),1,0))</f>
        <v/>
      </c>
      <c r="S7" s="2" t="inlineStr">
        <is>
          <t>Approved</t>
        </is>
      </c>
      <c r="T7" s="2" t="inlineStr">
        <is>
          <t>USR-06</t>
        </is>
      </c>
      <c r="U7" s="10" t="n">
        <v>46280</v>
      </c>
      <c r="V7" s="10" t="inlineStr">
        <is>
          <t>USR-06</t>
        </is>
      </c>
    </row>
    <row r="8">
      <c r="A8" s="7" t="inlineStr">
        <is>
          <t>PPR-000559</t>
        </is>
      </c>
      <c r="B8" s="7" t="inlineStr">
        <is>
          <t>MAT-001547</t>
        </is>
      </c>
      <c r="C8" s="7" t="inlineStr">
        <is>
          <t>SUP-000090</t>
        </is>
      </c>
      <c r="D8" s="7" t="inlineStr">
        <is>
          <t>R01</t>
        </is>
      </c>
      <c r="E8" s="13" t="n">
        <v>46280</v>
      </c>
      <c r="F8" s="8" t="inlineStr">
        <is>
          <t>Signed Quote</t>
        </is>
      </c>
      <c r="G8" s="7" t="inlineStr">
        <is>
          <t>IRR</t>
        </is>
      </c>
      <c r="H8" s="8" t="n">
        <v>1</v>
      </c>
      <c r="I8" s="8" t="n">
        <v>2200000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>
        <f>ROUND(($I8+$J8+$K8+$L8+$M8+$N8)*$H8,0)</f>
        <v/>
      </c>
      <c r="P8" s="13" t="n">
        <v>46280</v>
      </c>
      <c r="Q8" s="13" t="n">
        <v>46275</v>
      </c>
      <c r="R8" s="7">
        <f>IF(ISBLANK($Q8),1,IF($Q8&lt;TODAY(),1,0))</f>
        <v/>
      </c>
      <c r="S8" s="7" t="inlineStr">
        <is>
          <t>Expired</t>
        </is>
      </c>
      <c r="T8" s="7" t="inlineStr">
        <is>
          <t>USR-06</t>
        </is>
      </c>
      <c r="U8" s="13" t="n">
        <v>46280</v>
      </c>
      <c r="V8" s="13" t="inlineStr">
        <is>
          <t>USR-06</t>
        </is>
      </c>
    </row>
    <row r="9">
      <c r="A9" s="2" t="inlineStr">
        <is>
          <t>PPR-000560</t>
        </is>
      </c>
      <c r="B9" s="2" t="inlineStr">
        <is>
          <t>MAT-001547</t>
        </is>
      </c>
      <c r="C9" s="2" t="inlineStr">
        <is>
          <t>SUP-000090</t>
        </is>
      </c>
      <c r="D9" s="2" t="inlineStr">
        <is>
          <t>R02</t>
        </is>
      </c>
      <c r="E9" s="10" t="n">
        <v>46295</v>
      </c>
      <c r="F9" s="5" t="inlineStr">
        <is>
          <t>Revised Quote</t>
        </is>
      </c>
      <c r="G9" s="2" t="inlineStr">
        <is>
          <t>IRR</t>
        </is>
      </c>
      <c r="H9" s="5" t="n">
        <v>1</v>
      </c>
      <c r="I9" s="5" t="n">
        <v>2450000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>
        <f>ROUND(($I9+$J9+$K9+$L9+$M9+$N9)*$H9,0)</f>
        <v/>
      </c>
      <c r="P9" s="10" t="n">
        <v>46296</v>
      </c>
      <c r="Q9" s="10" t="n">
        <v>46357</v>
      </c>
      <c r="R9" s="2">
        <f>IF(ISBLANK($Q9),1,IF($Q9&lt;TODAY(),1,0))</f>
        <v/>
      </c>
      <c r="S9" s="2" t="inlineStr">
        <is>
          <t>Approved</t>
        </is>
      </c>
      <c r="T9" s="2" t="inlineStr">
        <is>
          <t>USR-06</t>
        </is>
      </c>
      <c r="U9" s="10" t="n">
        <v>46295</v>
      </c>
      <c r="V9" s="10" t="inlineStr">
        <is>
          <t>USR-06</t>
        </is>
      </c>
    </row>
    <row r="10">
      <c r="A10" s="7" t="inlineStr">
        <is>
          <t>PPR-000561</t>
        </is>
      </c>
      <c r="B10" s="7" t="inlineStr">
        <is>
          <t>MAT-001548</t>
        </is>
      </c>
      <c r="C10" s="7" t="inlineStr">
        <is>
          <t>SUP-000086</t>
        </is>
      </c>
      <c r="D10" s="7" t="inlineStr">
        <is>
          <t>R01</t>
        </is>
      </c>
      <c r="E10" s="13" t="n">
        <v>46280</v>
      </c>
      <c r="F10" s="8" t="inlineStr">
        <is>
          <t>Price list</t>
        </is>
      </c>
      <c r="G10" s="7" t="inlineStr">
        <is>
          <t>IRR</t>
        </is>
      </c>
      <c r="H10" s="8" t="n">
        <v>1</v>
      </c>
      <c r="I10" s="8" t="n">
        <v>12000000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>
        <f>ROUND(($I10+$J10+$K10+$L10+$M10+$N10)*$H10,0)</f>
        <v/>
      </c>
      <c r="P10" s="13" t="n">
        <v>46280</v>
      </c>
      <c r="Q10" s="13" t="n">
        <v>46376</v>
      </c>
      <c r="R10" s="7">
        <f>IF(ISBLANK($Q10),1,IF($Q10&lt;TODAY(),1,0))</f>
        <v/>
      </c>
      <c r="S10" s="7" t="inlineStr">
        <is>
          <t>Approved</t>
        </is>
      </c>
      <c r="T10" s="7" t="inlineStr">
        <is>
          <t>USR-06</t>
        </is>
      </c>
      <c r="U10" s="13" t="n">
        <v>46280</v>
      </c>
      <c r="V10" s="13" t="inlineStr">
        <is>
          <t>USR-06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6_1" sqref="B3:S30" password="C926"/>
    <protectedRange name="ROL-06_2" sqref="T3:T30" password="C926"/>
  </protectedRanges>
  <conditionalFormatting sqref="R3:R10">
    <cfRule type="cellIs" priority="1" operator="equal" dxfId="0">
      <formula>1</formula>
    </cfRule>
    <cfRule type="cellIs" priority="2" operator="equal" dxfId="1">
      <formula>0</formula>
    </cfRule>
  </conditionalFormatting>
  <dataValidations count="4">
    <dataValidation sqref="B3:Q50" showDropDown="0" showInputMessage="0" showErrorMessage="1" allowBlank="1" errorTitle="قفل گیت گردش کار" error="گیت ۳: ثبت قیمت خرید فقط پس از تکمیل مرحله مهندسی مجاز است. (وضعیت گیت‌ها: شیت Gate_Status)" promptTitle="قفل گیت گردش کار" prompt="گیت ۳: ثبت قیمت خرید فقط پس از تکمیل مرحله مهندسی مجاز است." type="custom">
      <formula1>=Gate_Status!$AC$1=1</formula1>
    </dataValidation>
    <dataValidation sqref="T3:T50" showDropDown="0" showInputMessage="0" showErrorMessage="1" allowBlank="1" errorTitle="قفل گیت گردش کار" error="گیت ۳: تأیید قیمت فقط پس از تکمیل مرحله مهندسی مجاز است. (وضعیت گیت‌ها: شیت Gate_Status)" promptTitle="قفل گیت گردش کار" prompt="گیت ۳: تأیید قیمت فقط پس از تکمیل مرحله مهندسی مجاز است." type="custom">
      <formula1>=Gate_Status!$AC$1=1</formula1>
    </dataValidation>
    <dataValidation sqref="G3:G10" showDropDown="0" showInputMessage="0" showErrorMessage="1" allowBlank="1" errorTitle="Data Validation" error="مقدار خارج از فهرست مجاز است" promptTitle="Currency" prompt="انتخاب از فهرست مجاز برای Currency" type="list">
      <formula1>"IRR,USD,EUR"</formula1>
    </dataValidation>
    <dataValidation sqref="S3:S10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2E9CCA"/>
    <outlinePr summaryBelow="1" summaryRight="1"/>
    <pageSetUpPr/>
  </sheetPr>
  <dimension ref="A1:V1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4" customWidth="1" min="4" max="4"/>
    <col width="13" customWidth="1" min="5" max="5"/>
    <col width="14" customWidth="1" min="6" max="6"/>
    <col width="11" customWidth="1" min="7" max="7"/>
    <col width="12" customWidth="1" min="8" max="8"/>
    <col width="14" customWidth="1" min="9" max="9"/>
    <col width="11" customWidth="1" min="10" max="10"/>
    <col width="15" customWidth="1" min="11" max="11"/>
    <col width="16" customWidth="1" min="12" max="12"/>
    <col width="11" customWidth="1" min="13" max="13"/>
    <col width="11" customWidth="1" min="14" max="14"/>
    <col width="11" customWidth="1" min="15" max="15"/>
    <col width="18" customWidth="1" min="16" max="16"/>
    <col width="14" customWidth="1" min="17" max="17"/>
    <col width="12" customWidth="1" min="18" max="18"/>
    <col width="12" customWidth="1" min="19" max="19"/>
    <col width="25" customWidth="1" min="20" max="20"/>
    <col width="14" customWidth="1" min="21" max="21"/>
    <col width="13" customWidth="1" min="22" max="22"/>
  </cols>
  <sheetData>
    <row r="1">
      <c r="A1" s="1" t="inlineStr">
        <is>
          <t>Planning</t>
        </is>
      </c>
      <c r="B1" s="3" t="inlineStr">
        <is>
          <t>Required = Bom_Qty × (1+Scrap%) × Order_Qty. Order_Qty زنده از Order_Lines خوانده می‌شود. Need_Date = زمان‌بندی نیاز به اقلام برای تولید (ورودی برنامه‌ریزی)؛ تاریخ سفارش‌گذاری پیشنهادی = تاریخ نیاز − لیدتایم.</t>
        </is>
      </c>
    </row>
    <row r="2">
      <c r="A2" s="4" t="inlineStr">
        <is>
          <t>System_ID</t>
        </is>
      </c>
      <c r="B2" s="4" t="inlineStr">
        <is>
          <t>Project_ID</t>
        </is>
      </c>
      <c r="C2" s="4" t="inlineStr">
        <is>
          <t>BOM_Revision_ID</t>
        </is>
      </c>
      <c r="D2" s="4" t="inlineStr">
        <is>
          <t>BOM_Line_ID</t>
        </is>
      </c>
      <c r="E2" s="4" t="inlineStr">
        <is>
          <t>Product_ID</t>
        </is>
      </c>
      <c r="F2" s="4" t="inlineStr">
        <is>
          <t>Material_ID</t>
        </is>
      </c>
      <c r="G2" s="4" t="inlineStr">
        <is>
          <t>Make_Buy</t>
        </is>
      </c>
      <c r="H2" s="4" t="inlineStr">
        <is>
          <t>Order_Qty</t>
        </is>
      </c>
      <c r="I2" s="4" t="inlineStr">
        <is>
          <t>Bom_Qty_Per</t>
        </is>
      </c>
      <c r="J2" s="4" t="inlineStr">
        <is>
          <t>Scrap_%</t>
        </is>
      </c>
      <c r="K2" s="4" t="inlineStr">
        <is>
          <t>Required_Qty</t>
        </is>
      </c>
      <c r="L2" s="4" t="inlineStr">
        <is>
          <t>Stock_On_Hand</t>
        </is>
      </c>
      <c r="M2" s="4" t="inlineStr">
        <is>
          <t>Reserved</t>
        </is>
      </c>
      <c r="N2" s="4" t="inlineStr">
        <is>
          <t>Deficit</t>
        </is>
      </c>
      <c r="O2" s="4" t="inlineStr">
        <is>
          <t>Buy_Qty</t>
        </is>
      </c>
      <c r="P2" s="4" t="inlineStr">
        <is>
          <t>Lead_Time_Days</t>
        </is>
      </c>
      <c r="Q2" s="4" t="inlineStr">
        <is>
          <t>Supply_Date</t>
        </is>
      </c>
      <c r="R2" s="4" t="inlineStr">
        <is>
          <t>Status_ID</t>
        </is>
      </c>
      <c r="S2" s="4" t="inlineStr">
        <is>
          <t>Need_Date</t>
        </is>
      </c>
      <c r="T2" s="4" t="inlineStr">
        <is>
          <t>Suggested_Order_Date</t>
        </is>
      </c>
      <c r="U2" s="4" t="inlineStr">
        <is>
          <t>Create_Date</t>
        </is>
      </c>
      <c r="V2" s="4" t="inlineStr">
        <is>
          <t>Created_By</t>
        </is>
      </c>
    </row>
    <row r="3">
      <c r="A3" s="2" t="inlineStr">
        <is>
          <t>PLN-000001</t>
        </is>
      </c>
      <c r="B3" s="2" t="inlineStr">
        <is>
          <t>PRJ-2026-00125</t>
        </is>
      </c>
      <c r="C3" s="2" t="inlineStr">
        <is>
          <t>BOM-000215-R05</t>
        </is>
      </c>
      <c r="D3" s="2" t="inlineStr">
        <is>
          <t>BLI-000988</t>
        </is>
      </c>
      <c r="E3" s="2" t="inlineStr">
        <is>
          <t>PRD-000125</t>
        </is>
      </c>
      <c r="F3" s="2" t="inlineStr">
        <is>
          <t>MAT-001542</t>
        </is>
      </c>
      <c r="G3" s="2" t="inlineStr">
        <is>
          <t>Make</t>
        </is>
      </c>
      <c r="H3" s="12">
        <f>SUMIFS(Order_Lines!$E$3:$E$20,Order_Lines!$D$3:$D$20,$E3,Order_Lines!$B$3:$B$20,XLOOKUP($B3,Projects!$A$3:$A$10,Projects!$C$3:$C$10,0))</f>
        <v/>
      </c>
      <c r="I3" s="12" t="n">
        <v>180</v>
      </c>
      <c r="J3" s="6" t="n">
        <v>0.05</v>
      </c>
      <c r="K3" s="12">
        <f>ROUND($H3*$I3*(1+$J3),2)</f>
        <v/>
      </c>
      <c r="L3" s="18">
        <f>IFERROR(XLOOKUP($F3,Inventory!$B$3:$B$20,Inventory!$C$3:$C$20,0),0)</f>
        <v/>
      </c>
      <c r="M3" s="18">
        <f>IFERROR(XLOOKUP($F3,Inventory!$B$3:$B$20,Inventory!$D$3:$D$20,0),0)</f>
        <v/>
      </c>
      <c r="N3" s="2">
        <f>MAX($K3-($L3-$M3),0)</f>
        <v/>
      </c>
      <c r="O3" s="12">
        <f>$N3</f>
        <v/>
      </c>
      <c r="P3" s="11" t="n">
        <v>15</v>
      </c>
      <c r="Q3" s="10">
        <f>TODAY()+$P3</f>
        <v/>
      </c>
      <c r="R3" s="2" t="inlineStr">
        <is>
          <t>Approved</t>
        </is>
      </c>
      <c r="S3" s="10" t="n">
        <v>46344</v>
      </c>
      <c r="T3" s="10">
        <f>IF($S3="","",$S3-$P3)</f>
        <v/>
      </c>
      <c r="U3" s="10" t="n">
        <v>46296</v>
      </c>
      <c r="V3" s="10" t="inlineStr">
        <is>
          <t>USR-05</t>
        </is>
      </c>
    </row>
    <row r="4">
      <c r="A4" s="7" t="inlineStr">
        <is>
          <t>PLN-000002</t>
        </is>
      </c>
      <c r="B4" s="7" t="inlineStr">
        <is>
          <t>PRJ-2026-00125</t>
        </is>
      </c>
      <c r="C4" s="7" t="inlineStr">
        <is>
          <t>BOM-000215-R05</t>
        </is>
      </c>
      <c r="D4" s="7" t="inlineStr">
        <is>
          <t>BLI-000989</t>
        </is>
      </c>
      <c r="E4" s="7" t="inlineStr">
        <is>
          <t>PRD-000125</t>
        </is>
      </c>
      <c r="F4" s="7" t="inlineStr">
        <is>
          <t>MAT-001543</t>
        </is>
      </c>
      <c r="G4" s="7" t="inlineStr">
        <is>
          <t>Make</t>
        </is>
      </c>
      <c r="H4" s="15">
        <f>SUMIFS(Order_Lines!$E$3:$E$20,Order_Lines!$D$3:$D$20,$E4,Order_Lines!$B$3:$B$20,XLOOKUP($B4,Projects!$A$3:$A$10,Projects!$C$3:$C$10,0))</f>
        <v/>
      </c>
      <c r="I4" s="15" t="n">
        <v>55</v>
      </c>
      <c r="J4" s="9" t="n">
        <v>0.05</v>
      </c>
      <c r="K4" s="15">
        <f>ROUND($H4*$I4*(1+$J4),2)</f>
        <v/>
      </c>
      <c r="L4" s="19">
        <f>IFERROR(XLOOKUP($F4,Inventory!$B$3:$B$20,Inventory!$C$3:$C$20,0),0)</f>
        <v/>
      </c>
      <c r="M4" s="19">
        <f>IFERROR(XLOOKUP($F4,Inventory!$B$3:$B$20,Inventory!$D$3:$D$20,0),0)</f>
        <v/>
      </c>
      <c r="N4" s="7">
        <f>MAX($K4-($L4-$M4),0)</f>
        <v/>
      </c>
      <c r="O4" s="15">
        <f>$N4</f>
        <v/>
      </c>
      <c r="P4" s="14" t="n">
        <v>15</v>
      </c>
      <c r="Q4" s="13">
        <f>TODAY()+$P4</f>
        <v/>
      </c>
      <c r="R4" s="7" t="inlineStr">
        <is>
          <t>Approved</t>
        </is>
      </c>
      <c r="S4" s="13" t="n">
        <v>46344</v>
      </c>
      <c r="T4" s="13">
        <f>IF($S4="","",$S4-$P4)</f>
        <v/>
      </c>
      <c r="U4" s="13" t="n">
        <v>46296</v>
      </c>
      <c r="V4" s="13" t="inlineStr">
        <is>
          <t>USR-05</t>
        </is>
      </c>
    </row>
    <row r="5">
      <c r="A5" s="2" t="inlineStr">
        <is>
          <t>PLN-000003</t>
        </is>
      </c>
      <c r="B5" s="2" t="inlineStr">
        <is>
          <t>PRJ-2026-00125</t>
        </is>
      </c>
      <c r="C5" s="2" t="inlineStr">
        <is>
          <t>BOM-000215-R05</t>
        </is>
      </c>
      <c r="D5" s="2" t="inlineStr">
        <is>
          <t>BLI-000990</t>
        </is>
      </c>
      <c r="E5" s="2" t="inlineStr">
        <is>
          <t>PRD-000125</t>
        </is>
      </c>
      <c r="F5" s="2" t="inlineStr">
        <is>
          <t>MAT-001547</t>
        </is>
      </c>
      <c r="G5" s="2" t="inlineStr">
        <is>
          <t>Make</t>
        </is>
      </c>
      <c r="H5" s="12">
        <f>SUMIFS(Order_Lines!$E$3:$E$20,Order_Lines!$D$3:$D$20,$E5,Order_Lines!$B$3:$B$20,XLOOKUP($B5,Projects!$A$3:$A$10,Projects!$C$3:$C$10,0))</f>
        <v/>
      </c>
      <c r="I5" s="12" t="n">
        <v>22</v>
      </c>
      <c r="J5" s="6" t="n">
        <v>0.05</v>
      </c>
      <c r="K5" s="12">
        <f>ROUND($H5*$I5*(1+$J5),2)</f>
        <v/>
      </c>
      <c r="L5" s="18">
        <f>IFERROR(XLOOKUP($F5,Inventory!$B$3:$B$20,Inventory!$C$3:$C$20,0),0)</f>
        <v/>
      </c>
      <c r="M5" s="18">
        <f>IFERROR(XLOOKUP($F5,Inventory!$B$3:$B$20,Inventory!$D$3:$D$20,0),0)</f>
        <v/>
      </c>
      <c r="N5" s="2">
        <f>MAX($K5-($L5-$M5),0)</f>
        <v/>
      </c>
      <c r="O5" s="12">
        <f>$N5</f>
        <v/>
      </c>
      <c r="P5" s="11" t="n">
        <v>15</v>
      </c>
      <c r="Q5" s="10">
        <f>TODAY()+$P5</f>
        <v/>
      </c>
      <c r="R5" s="2" t="inlineStr">
        <is>
          <t>Approved</t>
        </is>
      </c>
      <c r="S5" s="10" t="n">
        <v>46344</v>
      </c>
      <c r="T5" s="10">
        <f>IF($S5="","",$S5-$P5)</f>
        <v/>
      </c>
      <c r="U5" s="10" t="n">
        <v>46296</v>
      </c>
      <c r="V5" s="10" t="inlineStr">
        <is>
          <t>USR-05</t>
        </is>
      </c>
    </row>
    <row r="6">
      <c r="A6" s="7" t="inlineStr">
        <is>
          <t>PLN-000004</t>
        </is>
      </c>
      <c r="B6" s="7" t="inlineStr">
        <is>
          <t>PRJ-2026-00125</t>
        </is>
      </c>
      <c r="C6" s="7" t="inlineStr">
        <is>
          <t>BOM-000215-R05</t>
        </is>
      </c>
      <c r="D6" s="7" t="inlineStr">
        <is>
          <t>BLI-000991</t>
        </is>
      </c>
      <c r="E6" s="7" t="inlineStr">
        <is>
          <t>PRD-000125</t>
        </is>
      </c>
      <c r="F6" s="7" t="inlineStr">
        <is>
          <t>MAT-001544</t>
        </is>
      </c>
      <c r="G6" s="7" t="inlineStr">
        <is>
          <t>Buy</t>
        </is>
      </c>
      <c r="H6" s="15">
        <f>SUMIFS(Order_Lines!$E$3:$E$20,Order_Lines!$D$3:$D$20,$E6,Order_Lines!$B$3:$B$20,XLOOKUP($B6,Projects!$A$3:$A$10,Projects!$C$3:$C$10,0))</f>
        <v/>
      </c>
      <c r="I6" s="15" t="n">
        <v>1</v>
      </c>
      <c r="J6" s="9" t="n">
        <v>0</v>
      </c>
      <c r="K6" s="15">
        <f>ROUND($H6*$I6*(1+$J6),2)</f>
        <v/>
      </c>
      <c r="L6" s="19">
        <f>IFERROR(XLOOKUP($F6,Inventory!$B$3:$B$20,Inventory!$C$3:$C$20,0),0)</f>
        <v/>
      </c>
      <c r="M6" s="19">
        <f>IFERROR(XLOOKUP($F6,Inventory!$B$3:$B$20,Inventory!$D$3:$D$20,0),0)</f>
        <v/>
      </c>
      <c r="N6" s="7">
        <f>MAX($K6-($L6-$M6),0)</f>
        <v/>
      </c>
      <c r="O6" s="15">
        <f>$N6</f>
        <v/>
      </c>
      <c r="P6" s="14" t="n">
        <v>15</v>
      </c>
      <c r="Q6" s="13">
        <f>TODAY()+$P6</f>
        <v/>
      </c>
      <c r="R6" s="7" t="inlineStr">
        <is>
          <t>Approved</t>
        </is>
      </c>
      <c r="S6" s="13" t="n">
        <v>46344</v>
      </c>
      <c r="T6" s="13">
        <f>IF($S6="","",$S6-$P6)</f>
        <v/>
      </c>
      <c r="U6" s="13" t="n">
        <v>46296</v>
      </c>
      <c r="V6" s="13" t="inlineStr">
        <is>
          <t>USR-05</t>
        </is>
      </c>
    </row>
    <row r="7">
      <c r="A7" s="2" t="inlineStr">
        <is>
          <t>PLN-000005</t>
        </is>
      </c>
      <c r="B7" s="2" t="inlineStr">
        <is>
          <t>PRJ-2026-00125</t>
        </is>
      </c>
      <c r="C7" s="2" t="inlineStr">
        <is>
          <t>BOM-000215-R05</t>
        </is>
      </c>
      <c r="D7" s="2" t="inlineStr">
        <is>
          <t>BLI-000992</t>
        </is>
      </c>
      <c r="E7" s="2" t="inlineStr">
        <is>
          <t>PRD-000125</t>
        </is>
      </c>
      <c r="F7" s="2" t="inlineStr">
        <is>
          <t>MAT-001545</t>
        </is>
      </c>
      <c r="G7" s="2" t="inlineStr">
        <is>
          <t>Buy</t>
        </is>
      </c>
      <c r="H7" s="12">
        <f>SUMIFS(Order_Lines!$E$3:$E$20,Order_Lines!$D$3:$D$20,$E7,Order_Lines!$B$3:$B$20,XLOOKUP($B7,Projects!$A$3:$A$10,Projects!$C$3:$C$10,0))</f>
        <v/>
      </c>
      <c r="I7" s="12" t="n">
        <v>1</v>
      </c>
      <c r="J7" s="6" t="n">
        <v>0</v>
      </c>
      <c r="K7" s="12">
        <f>ROUND($H7*$I7*(1+$J7),2)</f>
        <v/>
      </c>
      <c r="L7" s="18">
        <f>IFERROR(XLOOKUP($F7,Inventory!$B$3:$B$20,Inventory!$C$3:$C$20,0),0)</f>
        <v/>
      </c>
      <c r="M7" s="18">
        <f>IFERROR(XLOOKUP($F7,Inventory!$B$3:$B$20,Inventory!$D$3:$D$20,0),0)</f>
        <v/>
      </c>
      <c r="N7" s="2">
        <f>MAX($K7-($L7-$M7),0)</f>
        <v/>
      </c>
      <c r="O7" s="12">
        <f>$N7</f>
        <v/>
      </c>
      <c r="P7" s="11" t="n">
        <v>15</v>
      </c>
      <c r="Q7" s="10">
        <f>TODAY()+$P7</f>
        <v/>
      </c>
      <c r="R7" s="2" t="inlineStr">
        <is>
          <t>Approved</t>
        </is>
      </c>
      <c r="S7" s="10" t="n">
        <v>46344</v>
      </c>
      <c r="T7" s="10">
        <f>IF($S7="","",$S7-$P7)</f>
        <v/>
      </c>
      <c r="U7" s="10" t="n">
        <v>46296</v>
      </c>
      <c r="V7" s="10" t="inlineStr">
        <is>
          <t>USR-05</t>
        </is>
      </c>
    </row>
    <row r="8">
      <c r="A8" s="7" t="inlineStr">
        <is>
          <t>PLN-000006</t>
        </is>
      </c>
      <c r="B8" s="7" t="inlineStr">
        <is>
          <t>PRJ-2026-00125</t>
        </is>
      </c>
      <c r="C8" s="7" t="inlineStr">
        <is>
          <t>BOM-000215-R05</t>
        </is>
      </c>
      <c r="D8" s="7" t="inlineStr">
        <is>
          <t>BLI-000993</t>
        </is>
      </c>
      <c r="E8" s="7" t="inlineStr">
        <is>
          <t>PRD-000125</t>
        </is>
      </c>
      <c r="F8" s="7" t="inlineStr">
        <is>
          <t>MAT-001546</t>
        </is>
      </c>
      <c r="G8" s="7" t="inlineStr">
        <is>
          <t>Buy</t>
        </is>
      </c>
      <c r="H8" s="15">
        <f>SUMIFS(Order_Lines!$E$3:$E$20,Order_Lines!$D$3:$D$20,$E8,Order_Lines!$B$3:$B$20,XLOOKUP($B8,Projects!$A$3:$A$10,Projects!$C$3:$C$10,0))</f>
        <v/>
      </c>
      <c r="I8" s="15" t="n">
        <v>1</v>
      </c>
      <c r="J8" s="9" t="n">
        <v>0</v>
      </c>
      <c r="K8" s="15">
        <f>ROUND($H8*$I8*(1+$J8),2)</f>
        <v/>
      </c>
      <c r="L8" s="19">
        <f>IFERROR(XLOOKUP($F8,Inventory!$B$3:$B$20,Inventory!$C$3:$C$20,0),0)</f>
        <v/>
      </c>
      <c r="M8" s="19">
        <f>IFERROR(XLOOKUP($F8,Inventory!$B$3:$B$20,Inventory!$D$3:$D$20,0),0)</f>
        <v/>
      </c>
      <c r="N8" s="7">
        <f>MAX($K8-($L8-$M8),0)</f>
        <v/>
      </c>
      <c r="O8" s="15">
        <f>$N8</f>
        <v/>
      </c>
      <c r="P8" s="14" t="n">
        <v>15</v>
      </c>
      <c r="Q8" s="13">
        <f>TODAY()+$P8</f>
        <v/>
      </c>
      <c r="R8" s="7" t="inlineStr">
        <is>
          <t>Approved</t>
        </is>
      </c>
      <c r="S8" s="13" t="n">
        <v>46344</v>
      </c>
      <c r="T8" s="13">
        <f>IF($S8="","",$S8-$P8)</f>
        <v/>
      </c>
      <c r="U8" s="13" t="n">
        <v>46296</v>
      </c>
      <c r="V8" s="13" t="inlineStr">
        <is>
          <t>USR-05</t>
        </is>
      </c>
    </row>
    <row r="9">
      <c r="A9" s="2" t="inlineStr">
        <is>
          <t>PLN-000007</t>
        </is>
      </c>
      <c r="B9" s="2" t="inlineStr">
        <is>
          <t>PRJ-2026-00125</t>
        </is>
      </c>
      <c r="C9" s="2" t="inlineStr">
        <is>
          <t>BOM-000215-R05</t>
        </is>
      </c>
      <c r="D9" s="2" t="inlineStr">
        <is>
          <t>BLI-000994</t>
        </is>
      </c>
      <c r="E9" s="2" t="inlineStr">
        <is>
          <t>PRD-000125</t>
        </is>
      </c>
      <c r="F9" s="2" t="inlineStr">
        <is>
          <t>MAT-001548</t>
        </is>
      </c>
      <c r="G9" s="2" t="inlineStr">
        <is>
          <t>Buy</t>
        </is>
      </c>
      <c r="H9" s="12">
        <f>SUMIFS(Order_Lines!$E$3:$E$20,Order_Lines!$D$3:$D$20,$E9,Order_Lines!$B$3:$B$20,XLOOKUP($B9,Projects!$A$3:$A$10,Projects!$C$3:$C$10,0))</f>
        <v/>
      </c>
      <c r="I9" s="12" t="n">
        <v>1</v>
      </c>
      <c r="J9" s="6" t="n">
        <v>0</v>
      </c>
      <c r="K9" s="12">
        <f>ROUND($H9*$I9*(1+$J9),2)</f>
        <v/>
      </c>
      <c r="L9" s="18">
        <f>IFERROR(XLOOKUP($F9,Inventory!$B$3:$B$20,Inventory!$C$3:$C$20,0),0)</f>
        <v/>
      </c>
      <c r="M9" s="18">
        <f>IFERROR(XLOOKUP($F9,Inventory!$B$3:$B$20,Inventory!$D$3:$D$20,0),0)</f>
        <v/>
      </c>
      <c r="N9" s="2">
        <f>MAX($K9-($L9-$M9),0)</f>
        <v/>
      </c>
      <c r="O9" s="12">
        <f>$N9</f>
        <v/>
      </c>
      <c r="P9" s="11" t="n">
        <v>15</v>
      </c>
      <c r="Q9" s="10">
        <f>TODAY()+$P9</f>
        <v/>
      </c>
      <c r="R9" s="2" t="inlineStr">
        <is>
          <t>Approved</t>
        </is>
      </c>
      <c r="S9" s="10" t="n">
        <v>46344</v>
      </c>
      <c r="T9" s="10">
        <f>IF($S9="","",$S9-$P9)</f>
        <v/>
      </c>
      <c r="U9" s="10" t="n">
        <v>46296</v>
      </c>
      <c r="V9" s="10" t="inlineStr">
        <is>
          <t>USR-05</t>
        </is>
      </c>
    </row>
    <row r="10">
      <c r="A10" s="7" t="inlineStr">
        <is>
          <t>PLN-000008</t>
        </is>
      </c>
      <c r="B10" s="7" t="inlineStr">
        <is>
          <t>PRJ-2026-00125</t>
        </is>
      </c>
      <c r="C10" s="7" t="inlineStr">
        <is>
          <t>BOM-000216-R02</t>
        </is>
      </c>
      <c r="D10" s="7" t="inlineStr">
        <is>
          <t>BLI-000901</t>
        </is>
      </c>
      <c r="E10" s="7" t="inlineStr">
        <is>
          <t>PRD-000126</t>
        </is>
      </c>
      <c r="F10" s="7" t="inlineStr">
        <is>
          <t>MAT-001542</t>
        </is>
      </c>
      <c r="G10" s="7" t="inlineStr">
        <is>
          <t>Make</t>
        </is>
      </c>
      <c r="H10" s="15">
        <f>SUMIFS(Order_Lines!$E$3:$E$20,Order_Lines!$D$3:$D$20,$E10,Order_Lines!$B$3:$B$20,XLOOKUP($B10,Projects!$A$3:$A$10,Projects!$C$3:$C$10,0))</f>
        <v/>
      </c>
      <c r="I10" s="15" t="n">
        <v>95</v>
      </c>
      <c r="J10" s="9" t="n">
        <v>0.05</v>
      </c>
      <c r="K10" s="15">
        <f>ROUND($H10*$I10*(1+$J10),2)</f>
        <v/>
      </c>
      <c r="L10" s="19">
        <f>IFERROR(XLOOKUP($F10,Inventory!$B$3:$B$20,Inventory!$C$3:$C$20,0),0)</f>
        <v/>
      </c>
      <c r="M10" s="19">
        <f>IFERROR(XLOOKUP($F10,Inventory!$B$3:$B$20,Inventory!$D$3:$D$20,0),0)</f>
        <v/>
      </c>
      <c r="N10" s="7">
        <f>MAX($K10-($L10-$M10),0)</f>
        <v/>
      </c>
      <c r="O10" s="15">
        <f>$N10</f>
        <v/>
      </c>
      <c r="P10" s="14" t="n">
        <v>15</v>
      </c>
      <c r="Q10" s="13">
        <f>TODAY()+$P10</f>
        <v/>
      </c>
      <c r="R10" s="7" t="inlineStr">
        <is>
          <t>Approved</t>
        </is>
      </c>
      <c r="S10" s="13" t="n">
        <v>46344</v>
      </c>
      <c r="T10" s="13">
        <f>IF($S10="","",$S10-$P10)</f>
        <v/>
      </c>
      <c r="U10" s="13" t="n">
        <v>46296</v>
      </c>
      <c r="V10" s="13" t="inlineStr">
        <is>
          <t>USR-05</t>
        </is>
      </c>
    </row>
    <row r="11">
      <c r="A11" s="2" t="inlineStr">
        <is>
          <t>PLN-000009</t>
        </is>
      </c>
      <c r="B11" s="2" t="inlineStr">
        <is>
          <t>PRJ-2026-00125</t>
        </is>
      </c>
      <c r="C11" s="2" t="inlineStr">
        <is>
          <t>BOM-000216-R02</t>
        </is>
      </c>
      <c r="D11" s="2" t="inlineStr">
        <is>
          <t>BLI-000902</t>
        </is>
      </c>
      <c r="E11" s="2" t="inlineStr">
        <is>
          <t>PRD-000126</t>
        </is>
      </c>
      <c r="F11" s="2" t="inlineStr">
        <is>
          <t>MAT-001547</t>
        </is>
      </c>
      <c r="G11" s="2" t="inlineStr">
        <is>
          <t>Make</t>
        </is>
      </c>
      <c r="H11" s="12">
        <f>SUMIFS(Order_Lines!$E$3:$E$20,Order_Lines!$D$3:$D$20,$E11,Order_Lines!$B$3:$B$20,XLOOKUP($B11,Projects!$A$3:$A$10,Projects!$C$3:$C$10,0))</f>
        <v/>
      </c>
      <c r="I11" s="12" t="n">
        <v>14</v>
      </c>
      <c r="J11" s="6" t="n">
        <v>0.05</v>
      </c>
      <c r="K11" s="12">
        <f>ROUND($H11*$I11*(1+$J11),2)</f>
        <v/>
      </c>
      <c r="L11" s="18">
        <f>IFERROR(XLOOKUP($F11,Inventory!$B$3:$B$20,Inventory!$C$3:$C$20,0),0)</f>
        <v/>
      </c>
      <c r="M11" s="18">
        <f>IFERROR(XLOOKUP($F11,Inventory!$B$3:$B$20,Inventory!$D$3:$D$20,0),0)</f>
        <v/>
      </c>
      <c r="N11" s="2">
        <f>MAX($K11-($L11-$M11),0)</f>
        <v/>
      </c>
      <c r="O11" s="12">
        <f>$N11</f>
        <v/>
      </c>
      <c r="P11" s="11" t="n">
        <v>15</v>
      </c>
      <c r="Q11" s="10">
        <f>TODAY()+$P11</f>
        <v/>
      </c>
      <c r="R11" s="2" t="inlineStr">
        <is>
          <t>Approved</t>
        </is>
      </c>
      <c r="S11" s="10" t="n">
        <v>46344</v>
      </c>
      <c r="T11" s="10">
        <f>IF($S11="","",$S11-$P11)</f>
        <v/>
      </c>
      <c r="U11" s="10" t="n">
        <v>46296</v>
      </c>
      <c r="V11" s="10" t="inlineStr">
        <is>
          <t>USR-05</t>
        </is>
      </c>
    </row>
    <row r="12">
      <c r="A12" s="7" t="inlineStr">
        <is>
          <t>PLN-000010</t>
        </is>
      </c>
      <c r="B12" s="7" t="inlineStr">
        <is>
          <t>PRJ-2026-00125</t>
        </is>
      </c>
      <c r="C12" s="7" t="inlineStr">
        <is>
          <t>BOM-000216-R02</t>
        </is>
      </c>
      <c r="D12" s="7" t="inlineStr">
        <is>
          <t>BLI-000903</t>
        </is>
      </c>
      <c r="E12" s="7" t="inlineStr">
        <is>
          <t>PRD-000126</t>
        </is>
      </c>
      <c r="F12" s="7" t="inlineStr">
        <is>
          <t>MAT-001544</t>
        </is>
      </c>
      <c r="G12" s="7" t="inlineStr">
        <is>
          <t>Buy</t>
        </is>
      </c>
      <c r="H12" s="15">
        <f>SUMIFS(Order_Lines!$E$3:$E$20,Order_Lines!$D$3:$D$20,$E12,Order_Lines!$B$3:$B$20,XLOOKUP($B12,Projects!$A$3:$A$10,Projects!$C$3:$C$10,0))</f>
        <v/>
      </c>
      <c r="I12" s="15" t="n">
        <v>1</v>
      </c>
      <c r="J12" s="9" t="n">
        <v>0</v>
      </c>
      <c r="K12" s="15">
        <f>ROUND($H12*$I12*(1+$J12),2)</f>
        <v/>
      </c>
      <c r="L12" s="19">
        <f>IFERROR(XLOOKUP($F12,Inventory!$B$3:$B$20,Inventory!$C$3:$C$20,0),0)</f>
        <v/>
      </c>
      <c r="M12" s="19">
        <f>IFERROR(XLOOKUP($F12,Inventory!$B$3:$B$20,Inventory!$D$3:$D$20,0),0)</f>
        <v/>
      </c>
      <c r="N12" s="7">
        <f>MAX($K12-($L12-$M12),0)</f>
        <v/>
      </c>
      <c r="O12" s="15">
        <f>$N12</f>
        <v/>
      </c>
      <c r="P12" s="14" t="n">
        <v>15</v>
      </c>
      <c r="Q12" s="13">
        <f>TODAY()+$P12</f>
        <v/>
      </c>
      <c r="R12" s="7" t="inlineStr">
        <is>
          <t>Approved</t>
        </is>
      </c>
      <c r="S12" s="13" t="n">
        <v>46344</v>
      </c>
      <c r="T12" s="13">
        <f>IF($S12="","",$S12-$P12)</f>
        <v/>
      </c>
      <c r="U12" s="13" t="n">
        <v>46296</v>
      </c>
      <c r="V12" s="13" t="inlineStr">
        <is>
          <t>USR-05</t>
        </is>
      </c>
    </row>
    <row r="13">
      <c r="A13" s="2" t="inlineStr">
        <is>
          <t>PLN-000011</t>
        </is>
      </c>
      <c r="B13" s="2" t="inlineStr">
        <is>
          <t>PRJ-2026-00125</t>
        </is>
      </c>
      <c r="C13" s="2" t="inlineStr">
        <is>
          <t>BOM-000216-R02</t>
        </is>
      </c>
      <c r="D13" s="2" t="inlineStr">
        <is>
          <t>BLI-000904</t>
        </is>
      </c>
      <c r="E13" s="2" t="inlineStr">
        <is>
          <t>PRD-000126</t>
        </is>
      </c>
      <c r="F13" s="2" t="inlineStr">
        <is>
          <t>MAT-001545</t>
        </is>
      </c>
      <c r="G13" s="2" t="inlineStr">
        <is>
          <t>Buy</t>
        </is>
      </c>
      <c r="H13" s="12">
        <f>SUMIFS(Order_Lines!$E$3:$E$20,Order_Lines!$D$3:$D$20,$E13,Order_Lines!$B$3:$B$20,XLOOKUP($B13,Projects!$A$3:$A$10,Projects!$C$3:$C$10,0))</f>
        <v/>
      </c>
      <c r="I13" s="12" t="n">
        <v>1</v>
      </c>
      <c r="J13" s="6" t="n">
        <v>0</v>
      </c>
      <c r="K13" s="12">
        <f>ROUND($H13*$I13*(1+$J13),2)</f>
        <v/>
      </c>
      <c r="L13" s="18">
        <f>IFERROR(XLOOKUP($F13,Inventory!$B$3:$B$20,Inventory!$C$3:$C$20,0),0)</f>
        <v/>
      </c>
      <c r="M13" s="18">
        <f>IFERROR(XLOOKUP($F13,Inventory!$B$3:$B$20,Inventory!$D$3:$D$20,0),0)</f>
        <v/>
      </c>
      <c r="N13" s="2">
        <f>MAX($K13-($L13-$M13),0)</f>
        <v/>
      </c>
      <c r="O13" s="12">
        <f>$N13</f>
        <v/>
      </c>
      <c r="P13" s="11" t="n">
        <v>15</v>
      </c>
      <c r="Q13" s="10">
        <f>TODAY()+$P13</f>
        <v/>
      </c>
      <c r="R13" s="2" t="inlineStr">
        <is>
          <t>Approved</t>
        </is>
      </c>
      <c r="S13" s="10" t="n">
        <v>46344</v>
      </c>
      <c r="T13" s="10">
        <f>IF($S13="","",$S13-$P13)</f>
        <v/>
      </c>
      <c r="U13" s="10" t="n">
        <v>46296</v>
      </c>
      <c r="V13" s="10" t="inlineStr">
        <is>
          <t>USR-05</t>
        </is>
      </c>
    </row>
    <row r="14">
      <c r="A14" s="7" t="inlineStr">
        <is>
          <t>PLN-000012</t>
        </is>
      </c>
      <c r="B14" s="7" t="inlineStr">
        <is>
          <t>PRJ-2026-00125</t>
        </is>
      </c>
      <c r="C14" s="7" t="inlineStr">
        <is>
          <t>BOM-000216-R02</t>
        </is>
      </c>
      <c r="D14" s="7" t="inlineStr">
        <is>
          <t>BLI-000905</t>
        </is>
      </c>
      <c r="E14" s="7" t="inlineStr">
        <is>
          <t>PRD-000126</t>
        </is>
      </c>
      <c r="F14" s="7" t="inlineStr">
        <is>
          <t>MAT-001546</t>
        </is>
      </c>
      <c r="G14" s="7" t="inlineStr">
        <is>
          <t>Buy</t>
        </is>
      </c>
      <c r="H14" s="15">
        <f>SUMIFS(Order_Lines!$E$3:$E$20,Order_Lines!$D$3:$D$20,$E14,Order_Lines!$B$3:$B$20,XLOOKUP($B14,Projects!$A$3:$A$10,Projects!$C$3:$C$10,0))</f>
        <v/>
      </c>
      <c r="I14" s="15" t="n">
        <v>1</v>
      </c>
      <c r="J14" s="9" t="n">
        <v>0</v>
      </c>
      <c r="K14" s="15">
        <f>ROUND($H14*$I14*(1+$J14),2)</f>
        <v/>
      </c>
      <c r="L14" s="19">
        <f>IFERROR(XLOOKUP($F14,Inventory!$B$3:$B$20,Inventory!$C$3:$C$20,0),0)</f>
        <v/>
      </c>
      <c r="M14" s="19">
        <f>IFERROR(XLOOKUP($F14,Inventory!$B$3:$B$20,Inventory!$D$3:$D$20,0),0)</f>
        <v/>
      </c>
      <c r="N14" s="7">
        <f>MAX($K14-($L14-$M14),0)</f>
        <v/>
      </c>
      <c r="O14" s="15">
        <f>$N14</f>
        <v/>
      </c>
      <c r="P14" s="14" t="n">
        <v>15</v>
      </c>
      <c r="Q14" s="13">
        <f>TODAY()+$P14</f>
        <v/>
      </c>
      <c r="R14" s="7" t="inlineStr">
        <is>
          <t>Approved</t>
        </is>
      </c>
      <c r="S14" s="13" t="n">
        <v>46344</v>
      </c>
      <c r="T14" s="13">
        <f>IF($S14="","",$S14-$P14)</f>
        <v/>
      </c>
      <c r="U14" s="13" t="n">
        <v>46296</v>
      </c>
      <c r="V14" s="13" t="inlineStr">
        <is>
          <t>USR-05</t>
        </is>
      </c>
    </row>
    <row r="15">
      <c r="A15" s="2" t="inlineStr">
        <is>
          <t>PLN-000013</t>
        </is>
      </c>
      <c r="B15" s="2" t="inlineStr">
        <is>
          <t>PRJ-2026-00125</t>
        </is>
      </c>
      <c r="C15" s="2" t="inlineStr">
        <is>
          <t>BOM-000216-R02</t>
        </is>
      </c>
      <c r="D15" s="2" t="inlineStr">
        <is>
          <t>BLI-000906</t>
        </is>
      </c>
      <c r="E15" s="2" t="inlineStr">
        <is>
          <t>PRD-000126</t>
        </is>
      </c>
      <c r="F15" s="2" t="inlineStr">
        <is>
          <t>MAT-001548</t>
        </is>
      </c>
      <c r="G15" s="2" t="inlineStr">
        <is>
          <t>Buy</t>
        </is>
      </c>
      <c r="H15" s="12">
        <f>SUMIFS(Order_Lines!$E$3:$E$20,Order_Lines!$D$3:$D$20,$E15,Order_Lines!$B$3:$B$20,XLOOKUP($B15,Projects!$A$3:$A$10,Projects!$C$3:$C$10,0))</f>
        <v/>
      </c>
      <c r="I15" s="12" t="n">
        <v>1</v>
      </c>
      <c r="J15" s="6" t="n">
        <v>0</v>
      </c>
      <c r="K15" s="12">
        <f>ROUND($H15*$I15*(1+$J15),2)</f>
        <v/>
      </c>
      <c r="L15" s="18">
        <f>IFERROR(XLOOKUP($F15,Inventory!$B$3:$B$20,Inventory!$C$3:$C$20,0),0)</f>
        <v/>
      </c>
      <c r="M15" s="18">
        <f>IFERROR(XLOOKUP($F15,Inventory!$B$3:$B$20,Inventory!$D$3:$D$20,0),0)</f>
        <v/>
      </c>
      <c r="N15" s="2">
        <f>MAX($K15-($L15-$M15),0)</f>
        <v/>
      </c>
      <c r="O15" s="12">
        <f>$N15</f>
        <v/>
      </c>
      <c r="P15" s="11" t="n">
        <v>15</v>
      </c>
      <c r="Q15" s="10">
        <f>TODAY()+$P15</f>
        <v/>
      </c>
      <c r="R15" s="2" t="inlineStr">
        <is>
          <t>Approved</t>
        </is>
      </c>
      <c r="S15" s="10" t="n">
        <v>46344</v>
      </c>
      <c r="T15" s="10">
        <f>IF($S15="","",$S15-$P15)</f>
        <v/>
      </c>
      <c r="U15" s="10" t="n">
        <v>46296</v>
      </c>
      <c r="V15" s="10" t="inlineStr">
        <is>
          <t>USR-05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5_1" sqref="R3:S30" password="CF76"/>
  </protectedRanges>
  <dataValidations count="3">
    <dataValidation sqref="R3:S55" showDropDown="0" showInputMessage="0" showErrorMessage="1" allowBlank="1" errorTitle="قفل گیت گردش کار" error="گیت ۴: ثبت وضعیت/تاریخ نیاز فقط پس از تکمیل قیمت‌دهی بازرگانی مجاز است. (وضعیت گیت‌ها: شیت Gate_Status)" promptTitle="قفل گیت گردش کار" prompt="گیت ۴: ثبت وضعیت/تاریخ نیاز فقط پس از تکمیل قیمت‌دهی بازرگانی مجاز است." type="custom">
      <formula1>=OR($B3="",IFERROR(INDEX(Gate_Status!$Q$3:$Q$20,MATCH($B3,Gate_Status!$B$3:$B$20,0)),0)=1)</formula1>
    </dataValidation>
    <dataValidation sqref="G3:G15" showDropDown="0" showInputMessage="0" showErrorMessage="1" allowBlank="1" errorTitle="Data Validation" error="مقدار خارج از فهرست مجاز است" promptTitle="Make_Buy" prompt="انتخاب از فهرست مجاز برای Make_Buy" type="list">
      <formula1>"Make,Buy"</formula1>
    </dataValidation>
    <dataValidation sqref="R3:R15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2E9CCA"/>
    <outlinePr summaryBelow="1" summaryRight="1"/>
    <pageSetUpPr/>
  </sheetPr>
  <dimension ref="A1:J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4" customWidth="1" min="4" max="4"/>
    <col width="15" customWidth="1" min="5" max="5"/>
    <col width="15" customWidth="1" min="6" max="6"/>
    <col width="14" customWidth="1" min="7" max="7"/>
    <col width="12" customWidth="1" min="8" max="8"/>
    <col width="14" customWidth="1" min="9" max="9"/>
    <col width="13" customWidth="1" min="10" max="10"/>
  </cols>
  <sheetData>
    <row r="1">
      <c r="A1" s="1" t="inlineStr">
        <is>
          <t>Receipts</t>
        </is>
      </c>
      <c r="B1" s="3" t="inlineStr">
        <is>
          <t>ثبت رسید اقلام توسط انبار با ارجاع به ردیف برنامه‌ریزی (PLN). پروژه/آیتم به‌صورت خودکار از Planning خوانده می‌شود.</t>
        </is>
      </c>
    </row>
    <row r="2">
      <c r="A2" s="4" t="inlineStr">
        <is>
          <t>System_ID</t>
        </is>
      </c>
      <c r="B2" s="4" t="inlineStr">
        <is>
          <t>Planning_ID</t>
        </is>
      </c>
      <c r="C2" s="4" t="inlineStr">
        <is>
          <t>Project_ID</t>
        </is>
      </c>
      <c r="D2" s="4" t="inlineStr">
        <is>
          <t>Material_ID</t>
        </is>
      </c>
      <c r="E2" s="4" t="inlineStr">
        <is>
          <t>Receipt_Date</t>
        </is>
      </c>
      <c r="F2" s="4" t="inlineStr">
        <is>
          <t>Qty_Received</t>
        </is>
      </c>
      <c r="G2" s="4" t="inlineStr">
        <is>
          <t>Received_By</t>
        </is>
      </c>
      <c r="H2" s="4" t="inlineStr">
        <is>
          <t>QC_Status</t>
        </is>
      </c>
      <c r="I2" s="4" t="inlineStr">
        <is>
          <t>Create_Date</t>
        </is>
      </c>
      <c r="J2" s="4" t="inlineStr">
        <is>
          <t>Created_By</t>
        </is>
      </c>
    </row>
    <row r="3">
      <c r="A3" s="2" t="inlineStr">
        <is>
          <t>RCV-000001</t>
        </is>
      </c>
      <c r="B3" s="2" t="inlineStr">
        <is>
          <t>PLN-000001</t>
        </is>
      </c>
      <c r="C3" s="2">
        <f>IFERROR(XLOOKUP($B3,Planning!$A$3:$A$30,Planning!$B$3:$B$30,""),"")</f>
        <v/>
      </c>
      <c r="D3" s="2">
        <f>IFERROR(XLOOKUP($B3,Planning!$A$3:$A$30,Planning!$F$3:$F$30,""),"")</f>
        <v/>
      </c>
      <c r="E3" s="10" t="n">
        <v>46313</v>
      </c>
      <c r="F3" s="12" t="n">
        <v>400</v>
      </c>
      <c r="G3" s="2" t="inlineStr">
        <is>
          <t>USR-10</t>
        </is>
      </c>
      <c r="H3" s="2" t="inlineStr">
        <is>
          <t>Accepted</t>
        </is>
      </c>
      <c r="I3" s="10" t="n">
        <v>46313</v>
      </c>
      <c r="J3" s="10" t="inlineStr">
        <is>
          <t>USR-10</t>
        </is>
      </c>
    </row>
    <row r="4">
      <c r="A4" s="7" t="inlineStr">
        <is>
          <t>RCV-000002</t>
        </is>
      </c>
      <c r="B4" s="7" t="inlineStr">
        <is>
          <t>PLN-000004</t>
        </is>
      </c>
      <c r="C4" s="7">
        <f>IFERROR(XLOOKUP($B4,Planning!$A$3:$A$30,Planning!$B$3:$B$30,""),"")</f>
        <v/>
      </c>
      <c r="D4" s="7">
        <f>IFERROR(XLOOKUP($B4,Planning!$A$3:$A$30,Planning!$F$3:$F$30,""),"")</f>
        <v/>
      </c>
      <c r="E4" s="13" t="n">
        <v>46320</v>
      </c>
      <c r="F4" s="15" t="n">
        <v>2</v>
      </c>
      <c r="G4" s="7" t="inlineStr">
        <is>
          <t>USR-10</t>
        </is>
      </c>
      <c r="H4" s="7" t="inlineStr">
        <is>
          <t>Accepted</t>
        </is>
      </c>
      <c r="I4" s="13" t="n">
        <v>46320</v>
      </c>
      <c r="J4" s="13" t="inlineStr">
        <is>
          <t>USR-10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10_1" sqref="B3:B30" password="8045"/>
    <protectedRange name="ROL-10_2" sqref="E3:H30" password="8045"/>
  </protectedRanges>
  <dataValidations count="3">
    <dataValidation sqref="B3:B44" showDropDown="0" showInputMessage="0" showErrorMessage="1" allowBlank="1" errorTitle="قفل گیت گردش کار" error="گیت: ثبت رسید انبار پس از عبور حداقل یک پروژه از مرحله برنامه‌ریزی مجاز است. (وضعیت گیت‌ها: شیت Gate_Status)" promptTitle="قفل گیت گردش کار" prompt="گیت: ثبت رسید انبار پس از عبور حداقل یک پروژه از مرحله برنامه‌ریزی مجاز است." type="custom">
      <formula1>=Gate_Status!$AE$1=1</formula1>
    </dataValidation>
    <dataValidation sqref="E3:H44" showDropDown="0" showInputMessage="0" showErrorMessage="1" allowBlank="1" errorTitle="قفل گیت گردش کار" error="گیت: ثبت رسید انبار پس از عبور حداقل یک پروژه از مرحله برنامه‌ریزی مجاز است. (وضعیت گیت‌ها: شیت Gate_Status)" promptTitle="قفل گیت گردش کار" prompt="گیت: ثبت رسید انبار پس از عبور حداقل یک پروژه از مرحله برنامه‌ریزی مجاز است." type="custom">
      <formula1>=Gate_Status!$AE$1=1</formula1>
    </dataValidation>
    <dataValidation sqref="H3:H4" showDropDown="0" showInputMessage="0" showErrorMessage="1" allowBlank="1" errorTitle="Data Validation" error="مقدار خارج از فهرست مجاز است" promptTitle="QC_Status" prompt="انتخاب از فهرست مجاز برای QC_Status" type="list">
      <formula1>"Accepted,Rejected,Quarantine"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2E9CCA"/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1" customWidth="1" min="4" max="4"/>
  </cols>
  <sheetData>
    <row r="1">
      <c r="A1" s="1" t="inlineStr">
        <is>
          <t>Inventory</t>
        </is>
      </c>
      <c r="B1" s="3" t="inlineStr">
        <is>
          <t>موجودی/رزرو برای محاسبه کسری در Planning.</t>
        </is>
      </c>
    </row>
    <row r="2">
      <c r="A2" s="4" t="inlineStr">
        <is>
          <t>System_ID</t>
        </is>
      </c>
      <c r="B2" s="4" t="inlineStr">
        <is>
          <t>Material_ID</t>
        </is>
      </c>
      <c r="C2" s="4" t="inlineStr">
        <is>
          <t>Stock_On_Hand</t>
        </is>
      </c>
      <c r="D2" s="4" t="inlineStr">
        <is>
          <t>Reserved</t>
        </is>
      </c>
    </row>
    <row r="3">
      <c r="A3" s="2" t="inlineStr">
        <is>
          <t>INV-0001</t>
        </is>
      </c>
      <c r="B3" s="2" t="inlineStr">
        <is>
          <t>MAT-001542</t>
        </is>
      </c>
      <c r="C3" s="18" t="n">
        <v>500</v>
      </c>
      <c r="D3" s="18" t="n">
        <v>0</v>
      </c>
    </row>
    <row r="4">
      <c r="A4" s="7" t="inlineStr">
        <is>
          <t>INV-0002</t>
        </is>
      </c>
      <c r="B4" s="7" t="inlineStr">
        <is>
          <t>MAT-001543</t>
        </is>
      </c>
      <c r="C4" s="19" t="n">
        <v>120</v>
      </c>
      <c r="D4" s="19" t="n">
        <v>0</v>
      </c>
    </row>
    <row r="5">
      <c r="A5" s="2" t="inlineStr">
        <is>
          <t>INV-0003</t>
        </is>
      </c>
      <c r="B5" s="2" t="inlineStr">
        <is>
          <t>MAT-001544</t>
        </is>
      </c>
      <c r="C5" s="18" t="n">
        <v>6</v>
      </c>
      <c r="D5" s="18" t="n">
        <v>2</v>
      </c>
    </row>
    <row r="6">
      <c r="A6" s="7" t="inlineStr">
        <is>
          <t>INV-0004</t>
        </is>
      </c>
      <c r="B6" s="7" t="inlineStr">
        <is>
          <t>MAT-001545</t>
        </is>
      </c>
      <c r="C6" s="19" t="n">
        <v>4</v>
      </c>
      <c r="D6" s="19" t="n">
        <v>1</v>
      </c>
    </row>
    <row r="7">
      <c r="A7" s="2" t="inlineStr">
        <is>
          <t>INV-0005</t>
        </is>
      </c>
      <c r="B7" s="2" t="inlineStr">
        <is>
          <t>MAT-001546</t>
        </is>
      </c>
      <c r="C7" s="18" t="n">
        <v>2</v>
      </c>
      <c r="D7" s="18" t="n">
        <v>0</v>
      </c>
    </row>
    <row r="8">
      <c r="A8" s="7" t="inlineStr">
        <is>
          <t>INV-0006</t>
        </is>
      </c>
      <c r="B8" s="7" t="inlineStr">
        <is>
          <t>MAT-001547</t>
        </is>
      </c>
      <c r="C8" s="19" t="n">
        <v>80</v>
      </c>
      <c r="D8" s="19" t="n">
        <v>0</v>
      </c>
    </row>
    <row r="9">
      <c r="A9" s="2" t="inlineStr">
        <is>
          <t>INV-0007</t>
        </is>
      </c>
      <c r="B9" s="2" t="inlineStr">
        <is>
          <t>MAT-001548</t>
        </is>
      </c>
      <c r="C9" s="18" t="n">
        <v>3</v>
      </c>
      <c r="D9" s="18" t="n">
        <v>0</v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5_1" sqref="C3:D30" password="CF76"/>
    <protectedRange name="ROL-10_2" sqref="C3:D30" password="8045"/>
  </protectedRange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806000"/>
    <outlinePr summaryBelow="1" summaryRight="1"/>
    <pageSetUpPr/>
  </sheetPr>
  <dimension ref="A1:N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1" customWidth="1" min="4" max="4"/>
    <col width="14" customWidth="1" min="5" max="5"/>
    <col width="14" customWidth="1" min="6" max="6"/>
    <col width="11" customWidth="1" min="7" max="7"/>
    <col width="11" customWidth="1" min="8" max="8"/>
    <col width="12" customWidth="1" min="9" max="9"/>
    <col width="11" customWidth="1" min="10" max="10"/>
    <col width="13" customWidth="1" min="11" max="11"/>
    <col width="11" customWidth="1" min="12" max="12"/>
    <col width="14" customWidth="1" min="13" max="13"/>
    <col width="13" customWidth="1" min="14" max="14"/>
  </cols>
  <sheetData>
    <row r="1">
      <c r="A1" s="1" t="inlineStr">
        <is>
          <t>Cost_Lines</t>
        </is>
      </c>
      <c r="B1" s="3" t="inlineStr">
        <is>
          <t>ریز اجزای قیمت تمام‌شده (Drill-down). Direct Material = اقلام Make، Purchased Parts = اقلام Buy (غیر بسته‌بندی)، Packaging = بسته‌بندی.</t>
        </is>
      </c>
    </row>
    <row r="2">
      <c r="A2" s="4" t="inlineStr">
        <is>
          <t>System_ID</t>
        </is>
      </c>
      <c r="B2" s="4" t="inlineStr">
        <is>
          <t>Costing_ID</t>
        </is>
      </c>
      <c r="C2" s="4" t="inlineStr">
        <is>
          <t>Project_ID</t>
        </is>
      </c>
      <c r="D2" s="4" t="inlineStr">
        <is>
          <t>Category</t>
        </is>
      </c>
      <c r="E2" s="4" t="inlineStr">
        <is>
          <t>Material_ID</t>
        </is>
      </c>
      <c r="F2" s="4" t="inlineStr">
        <is>
          <t>Supplier_ID</t>
        </is>
      </c>
      <c r="G2" s="4" t="inlineStr">
        <is>
          <t>Qty</t>
        </is>
      </c>
      <c r="H2" s="4" t="inlineStr">
        <is>
          <t>UoM</t>
        </is>
      </c>
      <c r="I2" s="4" t="inlineStr">
        <is>
          <t>Unit_Cost</t>
        </is>
      </c>
      <c r="J2" s="4" t="inlineStr">
        <is>
          <t>Amount</t>
        </is>
      </c>
      <c r="K2" s="4" t="inlineStr">
        <is>
          <t>Source_Ref</t>
        </is>
      </c>
      <c r="L2" s="4" t="inlineStr">
        <is>
          <t>Memo</t>
        </is>
      </c>
      <c r="M2" s="4" t="inlineStr">
        <is>
          <t>Create_Date</t>
        </is>
      </c>
      <c r="N2" s="4" t="inlineStr">
        <is>
          <t>Created_By</t>
        </is>
      </c>
    </row>
    <row r="3">
      <c r="A3" s="2" t="inlineStr">
        <is>
          <t>CLI-000001</t>
        </is>
      </c>
      <c r="B3" s="5" t="inlineStr">
        <is>
          <t>CST-000321</t>
        </is>
      </c>
      <c r="C3" s="2" t="inlineStr">
        <is>
          <t>PRJ-2026-00125</t>
        </is>
      </c>
      <c r="D3" s="2" t="inlineStr">
        <is>
          <t>Direct Material</t>
        </is>
      </c>
      <c r="E3" s="2" t="inlineStr">
        <is>
          <t>MAT-001542</t>
        </is>
      </c>
      <c r="F3" s="2" t="inlineStr"/>
      <c r="G3" s="12" t="n">
        <v>378</v>
      </c>
      <c r="H3" s="2" t="inlineStr">
        <is>
          <t>kg</t>
        </is>
      </c>
      <c r="I3" s="5">
        <f>Purchase_Prices!$O$3</f>
        <v/>
      </c>
      <c r="J3" s="5">
        <f>ROUND($G3*$I3,0)</f>
        <v/>
      </c>
      <c r="K3" s="2" t="inlineStr">
        <is>
          <t>PPR-MAT-001542</t>
        </is>
      </c>
      <c r="L3" s="2" t="inlineStr">
        <is>
          <t>از قیمت خرید فعال (Landed)</t>
        </is>
      </c>
      <c r="M3" s="10" t="n">
        <v>46300</v>
      </c>
      <c r="N3" s="10" t="inlineStr">
        <is>
          <t>USR-07</t>
        </is>
      </c>
    </row>
    <row r="4">
      <c r="A4" s="7" t="inlineStr">
        <is>
          <t>CLI-000002</t>
        </is>
      </c>
      <c r="B4" s="8" t="inlineStr">
        <is>
          <t>CST-000321</t>
        </is>
      </c>
      <c r="C4" s="7" t="inlineStr">
        <is>
          <t>PRJ-2026-00125</t>
        </is>
      </c>
      <c r="D4" s="7" t="inlineStr">
        <is>
          <t>Direct Material</t>
        </is>
      </c>
      <c r="E4" s="7" t="inlineStr">
        <is>
          <t>MAT-001543</t>
        </is>
      </c>
      <c r="F4" s="7" t="inlineStr"/>
      <c r="G4" s="15" t="n">
        <v>115.5</v>
      </c>
      <c r="H4" s="7" t="inlineStr">
        <is>
          <t>kg</t>
        </is>
      </c>
      <c r="I4" s="8">
        <f>Purchase_Prices!$O$4</f>
        <v/>
      </c>
      <c r="J4" s="8">
        <f>ROUND($G4*$I4,0)</f>
        <v/>
      </c>
      <c r="K4" s="7" t="inlineStr">
        <is>
          <t>PPR-MAT-001543</t>
        </is>
      </c>
      <c r="L4" s="7" t="inlineStr">
        <is>
          <t>از قیمت خرید فعال (Landed)</t>
        </is>
      </c>
      <c r="M4" s="13" t="n">
        <v>46300</v>
      </c>
      <c r="N4" s="13" t="inlineStr">
        <is>
          <t>USR-07</t>
        </is>
      </c>
    </row>
    <row r="5">
      <c r="A5" s="2" t="inlineStr">
        <is>
          <t>CLI-000003</t>
        </is>
      </c>
      <c r="B5" s="5" t="inlineStr">
        <is>
          <t>CST-000321</t>
        </is>
      </c>
      <c r="C5" s="2" t="inlineStr">
        <is>
          <t>PRJ-2026-00125</t>
        </is>
      </c>
      <c r="D5" s="2" t="inlineStr">
        <is>
          <t>Direct Material</t>
        </is>
      </c>
      <c r="E5" s="2" t="inlineStr">
        <is>
          <t>MAT-001547</t>
        </is>
      </c>
      <c r="F5" s="2" t="inlineStr"/>
      <c r="G5" s="12" t="n">
        <v>46.2</v>
      </c>
      <c r="H5" s="2" t="inlineStr">
        <is>
          <t>kg</t>
        </is>
      </c>
      <c r="I5" s="5">
        <f>Purchase_Prices!$O$9</f>
        <v/>
      </c>
      <c r="J5" s="5">
        <f>ROUND($G5*$I5,0)</f>
        <v/>
      </c>
      <c r="K5" s="2" t="inlineStr">
        <is>
          <t>PPR-MAT-001547</t>
        </is>
      </c>
      <c r="L5" s="2" t="inlineStr">
        <is>
          <t>از قیمت خرید فعال (Landed)</t>
        </is>
      </c>
      <c r="M5" s="10" t="n">
        <v>46300</v>
      </c>
      <c r="N5" s="10" t="inlineStr">
        <is>
          <t>USR-07</t>
        </is>
      </c>
    </row>
    <row r="6">
      <c r="A6" s="7" t="inlineStr">
        <is>
          <t>CLI-000004</t>
        </is>
      </c>
      <c r="B6" s="8" t="inlineStr">
        <is>
          <t>CST-000321</t>
        </is>
      </c>
      <c r="C6" s="7" t="inlineStr">
        <is>
          <t>PRJ-2026-00125</t>
        </is>
      </c>
      <c r="D6" s="7" t="inlineStr">
        <is>
          <t>Purchased Parts</t>
        </is>
      </c>
      <c r="E6" s="7" t="inlineStr">
        <is>
          <t>MAT-001544</t>
        </is>
      </c>
      <c r="F6" s="7" t="inlineStr">
        <is>
          <t>SUP-000089</t>
        </is>
      </c>
      <c r="G6" s="15" t="n">
        <v>2</v>
      </c>
      <c r="H6" s="7" t="inlineStr">
        <is>
          <t>pcs</t>
        </is>
      </c>
      <c r="I6" s="8">
        <f>Purchase_Prices!$O$5</f>
        <v/>
      </c>
      <c r="J6" s="8">
        <f>ROUND($G6*$I6,0)</f>
        <v/>
      </c>
      <c r="K6" s="7" t="inlineStr">
        <is>
          <t>PPR-MAT-001544</t>
        </is>
      </c>
      <c r="L6" s="7" t="inlineStr">
        <is>
          <t>از قیمت خرید فعال (Landed)</t>
        </is>
      </c>
      <c r="M6" s="13" t="n">
        <v>46300</v>
      </c>
      <c r="N6" s="13" t="inlineStr">
        <is>
          <t>USR-07</t>
        </is>
      </c>
    </row>
    <row r="7">
      <c r="A7" s="2" t="inlineStr">
        <is>
          <t>CLI-000005</t>
        </is>
      </c>
      <c r="B7" s="5" t="inlineStr">
        <is>
          <t>CST-000321</t>
        </is>
      </c>
      <c r="C7" s="2" t="inlineStr">
        <is>
          <t>PRJ-2026-00125</t>
        </is>
      </c>
      <c r="D7" s="2" t="inlineStr">
        <is>
          <t>Purchased Parts</t>
        </is>
      </c>
      <c r="E7" s="2" t="inlineStr">
        <is>
          <t>MAT-001545</t>
        </is>
      </c>
      <c r="F7" s="2" t="inlineStr">
        <is>
          <t>SUP-000088</t>
        </is>
      </c>
      <c r="G7" s="12" t="n">
        <v>2</v>
      </c>
      <c r="H7" s="2" t="inlineStr">
        <is>
          <t>pcs</t>
        </is>
      </c>
      <c r="I7" s="5">
        <f>Purchase_Prices!$O$6</f>
        <v/>
      </c>
      <c r="J7" s="5">
        <f>ROUND($G7*$I7,0)</f>
        <v/>
      </c>
      <c r="K7" s="2" t="inlineStr">
        <is>
          <t>PPR-MAT-001545</t>
        </is>
      </c>
      <c r="L7" s="2" t="inlineStr">
        <is>
          <t>از قیمت خرید فعال (Landed)</t>
        </is>
      </c>
      <c r="M7" s="10" t="n">
        <v>46300</v>
      </c>
      <c r="N7" s="10" t="inlineStr">
        <is>
          <t>USR-07</t>
        </is>
      </c>
    </row>
    <row r="8">
      <c r="A8" s="7" t="inlineStr">
        <is>
          <t>CLI-000006</t>
        </is>
      </c>
      <c r="B8" s="8" t="inlineStr">
        <is>
          <t>CST-000321</t>
        </is>
      </c>
      <c r="C8" s="7" t="inlineStr">
        <is>
          <t>PRJ-2026-00125</t>
        </is>
      </c>
      <c r="D8" s="7" t="inlineStr">
        <is>
          <t>Purchased Parts</t>
        </is>
      </c>
      <c r="E8" s="7" t="inlineStr">
        <is>
          <t>MAT-001546</t>
        </is>
      </c>
      <c r="F8" s="7" t="inlineStr">
        <is>
          <t>SUP-000087</t>
        </is>
      </c>
      <c r="G8" s="15" t="n">
        <v>2</v>
      </c>
      <c r="H8" s="7" t="inlineStr">
        <is>
          <t>pcs</t>
        </is>
      </c>
      <c r="I8" s="8">
        <f>Purchase_Prices!$O$7</f>
        <v/>
      </c>
      <c r="J8" s="8">
        <f>ROUND($G8*$I8,0)</f>
        <v/>
      </c>
      <c r="K8" s="7" t="inlineStr">
        <is>
          <t>PPR-MAT-001546</t>
        </is>
      </c>
      <c r="L8" s="7" t="inlineStr">
        <is>
          <t>از قیمت خرید فعال (Landed)</t>
        </is>
      </c>
      <c r="M8" s="13" t="n">
        <v>46300</v>
      </c>
      <c r="N8" s="13" t="inlineStr">
        <is>
          <t>USR-07</t>
        </is>
      </c>
    </row>
    <row r="9">
      <c r="A9" s="2" t="inlineStr">
        <is>
          <t>CLI-000007</t>
        </is>
      </c>
      <c r="B9" s="5" t="inlineStr">
        <is>
          <t>CST-000321</t>
        </is>
      </c>
      <c r="C9" s="2" t="inlineStr">
        <is>
          <t>PRJ-2026-00125</t>
        </is>
      </c>
      <c r="D9" s="2" t="inlineStr">
        <is>
          <t>Direct Material</t>
        </is>
      </c>
      <c r="E9" s="2" t="inlineStr">
        <is>
          <t>MAT-001542</t>
        </is>
      </c>
      <c r="F9" s="2" t="inlineStr"/>
      <c r="G9" s="12" t="n">
        <v>99.75</v>
      </c>
      <c r="H9" s="2" t="inlineStr">
        <is>
          <t>kg</t>
        </is>
      </c>
      <c r="I9" s="5">
        <f>Purchase_Prices!$O$3</f>
        <v/>
      </c>
      <c r="J9" s="5">
        <f>ROUND($G9*$I9,0)</f>
        <v/>
      </c>
      <c r="K9" s="2" t="inlineStr">
        <is>
          <t>PPR-MAT-001542</t>
        </is>
      </c>
      <c r="L9" s="2" t="inlineStr">
        <is>
          <t>از قیمت خرید فعال (Landed)</t>
        </is>
      </c>
      <c r="M9" s="10" t="n">
        <v>46300</v>
      </c>
      <c r="N9" s="10" t="inlineStr">
        <is>
          <t>USR-07</t>
        </is>
      </c>
    </row>
    <row r="10">
      <c r="A10" s="7" t="inlineStr">
        <is>
          <t>CLI-000008</t>
        </is>
      </c>
      <c r="B10" s="8" t="inlineStr">
        <is>
          <t>CST-000321</t>
        </is>
      </c>
      <c r="C10" s="7" t="inlineStr">
        <is>
          <t>PRJ-2026-00125</t>
        </is>
      </c>
      <c r="D10" s="7" t="inlineStr">
        <is>
          <t>Direct Material</t>
        </is>
      </c>
      <c r="E10" s="7" t="inlineStr">
        <is>
          <t>MAT-001547</t>
        </is>
      </c>
      <c r="F10" s="7" t="inlineStr"/>
      <c r="G10" s="15" t="n">
        <v>14.7</v>
      </c>
      <c r="H10" s="7" t="inlineStr">
        <is>
          <t>kg</t>
        </is>
      </c>
      <c r="I10" s="8">
        <f>Purchase_Prices!$O$9</f>
        <v/>
      </c>
      <c r="J10" s="8">
        <f>ROUND($G10*$I10,0)</f>
        <v/>
      </c>
      <c r="K10" s="7" t="inlineStr">
        <is>
          <t>PPR-MAT-001547</t>
        </is>
      </c>
      <c r="L10" s="7" t="inlineStr">
        <is>
          <t>از قیمت خرید فعال (Landed)</t>
        </is>
      </c>
      <c r="M10" s="13" t="n">
        <v>46300</v>
      </c>
      <c r="N10" s="13" t="inlineStr">
        <is>
          <t>USR-07</t>
        </is>
      </c>
    </row>
    <row r="11">
      <c r="A11" s="2" t="inlineStr">
        <is>
          <t>CLI-000009</t>
        </is>
      </c>
      <c r="B11" s="5" t="inlineStr">
        <is>
          <t>CST-000321</t>
        </is>
      </c>
      <c r="C11" s="2" t="inlineStr">
        <is>
          <t>PRJ-2026-00125</t>
        </is>
      </c>
      <c r="D11" s="2" t="inlineStr">
        <is>
          <t>Purchased Parts</t>
        </is>
      </c>
      <c r="E11" s="2" t="inlineStr">
        <is>
          <t>MAT-001544</t>
        </is>
      </c>
      <c r="F11" s="2" t="inlineStr">
        <is>
          <t>SUP-000089</t>
        </is>
      </c>
      <c r="G11" s="12" t="n">
        <v>1</v>
      </c>
      <c r="H11" s="2" t="inlineStr">
        <is>
          <t>pcs</t>
        </is>
      </c>
      <c r="I11" s="5">
        <f>Purchase_Prices!$O$5</f>
        <v/>
      </c>
      <c r="J11" s="5">
        <f>ROUND($G11*$I11,0)</f>
        <v/>
      </c>
      <c r="K11" s="2" t="inlineStr">
        <is>
          <t>PPR-MAT-001544</t>
        </is>
      </c>
      <c r="L11" s="2" t="inlineStr">
        <is>
          <t>از قیمت خرید فعال (Landed)</t>
        </is>
      </c>
      <c r="M11" s="10" t="n">
        <v>46300</v>
      </c>
      <c r="N11" s="10" t="inlineStr">
        <is>
          <t>USR-07</t>
        </is>
      </c>
    </row>
    <row r="12">
      <c r="A12" s="7" t="inlineStr">
        <is>
          <t>CLI-000010</t>
        </is>
      </c>
      <c r="B12" s="8" t="inlineStr">
        <is>
          <t>CST-000321</t>
        </is>
      </c>
      <c r="C12" s="7" t="inlineStr">
        <is>
          <t>PRJ-2026-00125</t>
        </is>
      </c>
      <c r="D12" s="7" t="inlineStr">
        <is>
          <t>Purchased Parts</t>
        </is>
      </c>
      <c r="E12" s="7" t="inlineStr">
        <is>
          <t>MAT-001545</t>
        </is>
      </c>
      <c r="F12" s="7" t="inlineStr">
        <is>
          <t>SUP-000088</t>
        </is>
      </c>
      <c r="G12" s="15" t="n">
        <v>1</v>
      </c>
      <c r="H12" s="7" t="inlineStr">
        <is>
          <t>pcs</t>
        </is>
      </c>
      <c r="I12" s="8">
        <f>Purchase_Prices!$O$6</f>
        <v/>
      </c>
      <c r="J12" s="8">
        <f>ROUND($G12*$I12,0)</f>
        <v/>
      </c>
      <c r="K12" s="7" t="inlineStr">
        <is>
          <t>PPR-MAT-001545</t>
        </is>
      </c>
      <c r="L12" s="7" t="inlineStr">
        <is>
          <t>از قیمت خرید فعال (Landed)</t>
        </is>
      </c>
      <c r="M12" s="13" t="n">
        <v>46300</v>
      </c>
      <c r="N12" s="13" t="inlineStr">
        <is>
          <t>USR-07</t>
        </is>
      </c>
    </row>
    <row r="13">
      <c r="A13" s="2" t="inlineStr">
        <is>
          <t>CLI-000011</t>
        </is>
      </c>
      <c r="B13" s="5" t="inlineStr">
        <is>
          <t>CST-000321</t>
        </is>
      </c>
      <c r="C13" s="2" t="inlineStr">
        <is>
          <t>PRJ-2026-00125</t>
        </is>
      </c>
      <c r="D13" s="2" t="inlineStr">
        <is>
          <t>Purchased Parts</t>
        </is>
      </c>
      <c r="E13" s="2" t="inlineStr">
        <is>
          <t>MAT-001546</t>
        </is>
      </c>
      <c r="F13" s="2" t="inlineStr">
        <is>
          <t>SUP-000087</t>
        </is>
      </c>
      <c r="G13" s="12" t="n">
        <v>1</v>
      </c>
      <c r="H13" s="2" t="inlineStr">
        <is>
          <t>pcs</t>
        </is>
      </c>
      <c r="I13" s="5">
        <f>Purchase_Prices!$O$7</f>
        <v/>
      </c>
      <c r="J13" s="5">
        <f>ROUND($G13*$I13,0)</f>
        <v/>
      </c>
      <c r="K13" s="2" t="inlineStr">
        <is>
          <t>PPR-MAT-001546</t>
        </is>
      </c>
      <c r="L13" s="2" t="inlineStr">
        <is>
          <t>از قیمت خرید فعال (Landed)</t>
        </is>
      </c>
      <c r="M13" s="10" t="n">
        <v>46300</v>
      </c>
      <c r="N13" s="10" t="inlineStr">
        <is>
          <t>USR-07</t>
        </is>
      </c>
    </row>
    <row r="14">
      <c r="A14" s="7" t="inlineStr">
        <is>
          <t>CLI-000012</t>
        </is>
      </c>
      <c r="B14" s="8" t="inlineStr">
        <is>
          <t>CST-000321</t>
        </is>
      </c>
      <c r="C14" s="7" t="inlineStr">
        <is>
          <t>PRJ-2026-00125</t>
        </is>
      </c>
      <c r="D14" s="7" t="inlineStr">
        <is>
          <t>Direct Labor</t>
        </is>
      </c>
      <c r="E14" s="7" t="inlineStr"/>
      <c r="F14" s="7" t="inlineStr"/>
      <c r="G14" s="15">
        <f>SUMIFS(Time_Study!$L$3:$L$20,Time_Study!$B$3:$B$20,$C14)</f>
        <v/>
      </c>
      <c r="H14" s="7" t="inlineStr">
        <is>
          <t>hr</t>
        </is>
      </c>
      <c r="I14" s="8">
        <f>Settings!$B$3</f>
        <v/>
      </c>
      <c r="J14" s="8">
        <f>ROUND($G14*$I14,0)</f>
        <v/>
      </c>
      <c r="K14" s="7" t="inlineStr">
        <is>
          <t>Time_Study</t>
        </is>
      </c>
      <c r="L14" s="7" t="inlineStr">
        <is>
          <t>نفرساعت از زمان‌سنجی مهندسی × نرخ دستمزد (Settings)</t>
        </is>
      </c>
      <c r="M14" s="13" t="n">
        <v>46300</v>
      </c>
      <c r="N14" s="13" t="inlineStr">
        <is>
          <t>USR-07</t>
        </is>
      </c>
    </row>
    <row r="15">
      <c r="A15" s="2" t="inlineStr">
        <is>
          <t>CLI-000013</t>
        </is>
      </c>
      <c r="B15" s="5" t="inlineStr">
        <is>
          <t>CST-000321</t>
        </is>
      </c>
      <c r="C15" s="2" t="inlineStr">
        <is>
          <t>PRJ-2026-00125</t>
        </is>
      </c>
      <c r="D15" s="2" t="inlineStr">
        <is>
          <t>Manufacturing Overhead</t>
        </is>
      </c>
      <c r="E15" s="2" t="inlineStr"/>
      <c r="F15" s="2" t="inlineStr"/>
      <c r="G15" s="12" t="n">
        <v>1</v>
      </c>
      <c r="H15" s="2" t="inlineStr">
        <is>
          <t>lot</t>
        </is>
      </c>
      <c r="I15" s="5">
        <f>Settings!$B$4</f>
        <v/>
      </c>
      <c r="J15" s="5">
        <f>ROUND($J$14*$I15,0)</f>
        <v/>
      </c>
      <c r="K15" s="2" t="inlineStr">
        <is>
          <t>Settings</t>
        </is>
      </c>
      <c r="L15" s="2" t="inlineStr">
        <is>
          <t>ASSUMPTION: نرخ سربار × دستمزد مستقیم (جذب بر پایه کار)</t>
        </is>
      </c>
      <c r="M15" s="10" t="n">
        <v>46300</v>
      </c>
      <c r="N15" s="10" t="inlineStr">
        <is>
          <t>USR-07</t>
        </is>
      </c>
    </row>
    <row r="16">
      <c r="A16" s="7" t="inlineStr">
        <is>
          <t>CLI-000014</t>
        </is>
      </c>
      <c r="B16" s="8" t="inlineStr">
        <is>
          <t>CST-000321</t>
        </is>
      </c>
      <c r="C16" s="7" t="inlineStr">
        <is>
          <t>PRJ-2026-00125</t>
        </is>
      </c>
      <c r="D16" s="7" t="inlineStr">
        <is>
          <t>Scrap</t>
        </is>
      </c>
      <c r="E16" s="7" t="inlineStr"/>
      <c r="F16" s="7" t="inlineStr"/>
      <c r="G16" s="15" t="n">
        <v>1</v>
      </c>
      <c r="H16" s="7" t="inlineStr">
        <is>
          <t>lot</t>
        </is>
      </c>
      <c r="I16" s="8">
        <f>Settings!$B$5</f>
        <v/>
      </c>
      <c r="J16" s="8">
        <f>ROUND(($J$3+$J$4+$J$5+$J$9+$J$10+$J$6+$J$7+$J$8+$J$11+$J$12+$J$13)*$I16,0)</f>
        <v/>
      </c>
      <c r="K16" s="7" t="inlineStr">
        <is>
          <t>Settings</t>
        </is>
      </c>
      <c r="L16" s="7" t="inlineStr">
        <is>
          <t>ASSUMPTION: ضریب ضایعات فرآیند</t>
        </is>
      </c>
      <c r="M16" s="13" t="n">
        <v>46300</v>
      </c>
      <c r="N16" s="13" t="inlineStr">
        <is>
          <t>USR-07</t>
        </is>
      </c>
    </row>
    <row r="17">
      <c r="A17" s="2" t="inlineStr">
        <is>
          <t>CLI-000015</t>
        </is>
      </c>
      <c r="B17" s="5" t="inlineStr">
        <is>
          <t>CST-000321</t>
        </is>
      </c>
      <c r="C17" s="2" t="inlineStr">
        <is>
          <t>PRJ-2026-00125</t>
        </is>
      </c>
      <c r="D17" s="2" t="inlineStr">
        <is>
          <t>Packaging</t>
        </is>
      </c>
      <c r="E17" s="2" t="inlineStr">
        <is>
          <t>MAT-001548</t>
        </is>
      </c>
      <c r="F17" s="2" t="inlineStr"/>
      <c r="G17" s="12" t="n">
        <v>2</v>
      </c>
      <c r="H17" s="2" t="inlineStr">
        <is>
          <t>pcs</t>
        </is>
      </c>
      <c r="I17" s="5">
        <f>Settings!$B$11</f>
        <v/>
      </c>
      <c r="J17" s="5">
        <f>ROUND($G17*$I17,0)</f>
        <v/>
      </c>
      <c r="K17" s="2" t="inlineStr">
        <is>
          <t>Settings</t>
        </is>
      </c>
      <c r="L17" s="2" t="inlineStr">
        <is>
          <t>بسته‌بندی از Settings/تأمین‌کننده</t>
        </is>
      </c>
      <c r="M17" s="10" t="n">
        <v>46300</v>
      </c>
      <c r="N17" s="10" t="inlineStr">
        <is>
          <t>USR-07</t>
        </is>
      </c>
    </row>
    <row r="18">
      <c r="A18" s="7" t="inlineStr">
        <is>
          <t>CLI-000016</t>
        </is>
      </c>
      <c r="B18" s="8" t="inlineStr">
        <is>
          <t>CST-000321</t>
        </is>
      </c>
      <c r="C18" s="7" t="inlineStr">
        <is>
          <t>PRJ-2026-00125</t>
        </is>
      </c>
      <c r="D18" s="7" t="inlineStr">
        <is>
          <t>Logistics</t>
        </is>
      </c>
      <c r="E18" s="7" t="inlineStr"/>
      <c r="F18" s="7" t="inlineStr"/>
      <c r="G18" s="15" t="n">
        <v>1</v>
      </c>
      <c r="H18" s="7" t="inlineStr">
        <is>
          <t>lot</t>
        </is>
      </c>
      <c r="I18" s="8">
        <f>Settings!$B$10</f>
        <v/>
      </c>
      <c r="J18" s="8">
        <f>ROUND($G18*$I18,0)</f>
        <v/>
      </c>
      <c r="K18" s="7" t="inlineStr">
        <is>
          <t>Settings</t>
        </is>
      </c>
      <c r="L18" s="7" t="inlineStr">
        <is>
          <t>ASSUMPTION: لجستیک پایه پروژه</t>
        </is>
      </c>
      <c r="M18" s="13" t="n">
        <v>46300</v>
      </c>
      <c r="N18" s="13" t="inlineStr">
        <is>
          <t>USR-07</t>
        </is>
      </c>
    </row>
    <row r="19">
      <c r="A19" s="2" t="inlineStr">
        <is>
          <t>CLI-000017</t>
        </is>
      </c>
      <c r="B19" s="5" t="inlineStr">
        <is>
          <t>CST-000321</t>
        </is>
      </c>
      <c r="C19" s="2" t="inlineStr">
        <is>
          <t>PRJ-2026-00125</t>
        </is>
      </c>
      <c r="D19" s="2" t="inlineStr">
        <is>
          <t>Tooling</t>
        </is>
      </c>
      <c r="E19" s="2" t="inlineStr"/>
      <c r="F19" s="2" t="inlineStr"/>
      <c r="G19" s="12" t="n">
        <v>1</v>
      </c>
      <c r="H19" s="2" t="inlineStr">
        <is>
          <t>lot</t>
        </is>
      </c>
      <c r="I19" s="5">
        <f>Settings!$B$9</f>
        <v/>
      </c>
      <c r="J19" s="5">
        <f>ROUND($G19*$I19,0)</f>
        <v/>
      </c>
      <c r="K19" s="2" t="inlineStr">
        <is>
          <t>Settings</t>
        </is>
      </c>
      <c r="L19" s="2" t="inlineStr">
        <is>
          <t>ASSUMPTION: استهلاک قالب (تسهیم خطی)</t>
        </is>
      </c>
      <c r="M19" s="10" t="n">
        <v>46300</v>
      </c>
      <c r="N19" s="10" t="inlineStr">
        <is>
          <t>USR-07</t>
        </is>
      </c>
    </row>
    <row r="20">
      <c r="A20" s="7" t="inlineStr">
        <is>
          <t>CLI-000018</t>
        </is>
      </c>
      <c r="B20" s="8" t="inlineStr">
        <is>
          <t>CST-000321</t>
        </is>
      </c>
      <c r="C20" s="7" t="inlineStr">
        <is>
          <t>PRJ-2026-00125</t>
        </is>
      </c>
      <c r="D20" s="7" t="inlineStr">
        <is>
          <t>SG&amp;A</t>
        </is>
      </c>
      <c r="E20" s="7" t="inlineStr"/>
      <c r="F20" s="7" t="inlineStr"/>
      <c r="G20" s="15" t="n">
        <v>1</v>
      </c>
      <c r="H20" s="7" t="inlineStr">
        <is>
          <t>lot</t>
        </is>
      </c>
      <c r="I20" s="8">
        <f>Settings!$B$7</f>
        <v/>
      </c>
      <c r="J20" s="8">
        <f>ROUND(IF(Settings!$B$8=1,($J$3+$J$4+$J$5+$J$9+$J$10+$J$6+$J$7+$J$8+$J$11+$J$12+$J$13+$J$17+$J$14+$J$15)*$I20,0),0)</f>
        <v/>
      </c>
      <c r="K20" s="7" t="inlineStr">
        <is>
          <t>Settings</t>
        </is>
      </c>
      <c r="L20" s="7" t="inlineStr">
        <is>
          <t>ASSUMPTION: نرخ اداری/فروش (در صورت سیاست سازمان)</t>
        </is>
      </c>
      <c r="M20" s="13" t="n">
        <v>46300</v>
      </c>
      <c r="N20" s="13" t="inlineStr">
        <is>
          <t>USR-07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7_1" sqref="B3:I60" password="A395"/>
    <protectedRange name="ROL-07_2" sqref="K3:L60" password="A395"/>
  </protectedRanges>
  <dataValidations count="2">
    <dataValidation sqref="B3:L60" showDropDown="0" showInputMessage="0" showErrorMessage="1" allowBlank="1" errorTitle="قفل گیت گردش کار" error="گیت ۵: ثبت هزینه فقط پس از تکمیل برنامه‌ریزی تولید و انبارها مجاز است. (وضعیت گیت‌ها: شیت Gate_Status)" promptTitle="قفل گیت گردش کار" prompt="گیت ۵: ثبت هزینه فقط پس از تکمیل برنامه‌ریزی تولید و انبارها مجاز است." type="custom">
      <formula1>=OR($B3="",IFERROR(INDEX(Gate_Status!$R$3:$R$20,MATCH($B3,Gate_Status!$B$3:$B$20,0)),0)=1)</formula1>
    </dataValidation>
    <dataValidation sqref="H3:H20" showDropDown="0" showInputMessage="0" showErrorMessage="1" allowBlank="1" errorTitle="Data Validation" error="مقدار خارج از فهرست مجاز است" promptTitle="UoM" prompt="انتخاب از فهرست مجاز برای UoM" type="list">
      <formula1>"pcs,kg,m,m2,liter,set,ton"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00806000"/>
    <outlinePr summaryBelow="1" summaryRight="1"/>
    <pageSetUpPr/>
  </sheetPr>
  <dimension ref="A1:U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2" customWidth="1" min="4" max="4"/>
    <col width="13" customWidth="1" min="5" max="5"/>
    <col width="12" customWidth="1" min="6" max="6"/>
    <col width="19" customWidth="1" min="7" max="7"/>
    <col width="19" customWidth="1" min="8" max="8"/>
    <col width="15" customWidth="1" min="9" max="9"/>
    <col width="15" customWidth="1" min="10" max="10"/>
    <col width="11" customWidth="1" min="11" max="11"/>
    <col width="12" customWidth="1" min="12" max="12"/>
    <col width="12" customWidth="1" min="13" max="13"/>
    <col width="11" customWidth="1" min="14" max="14"/>
    <col width="11" customWidth="1" min="15" max="15"/>
    <col width="19" customWidth="1" min="16" max="16"/>
    <col width="13" customWidth="1" min="17" max="17"/>
    <col width="16" customWidth="1" min="18" max="18"/>
    <col width="14" customWidth="1" min="19" max="19"/>
    <col width="14" customWidth="1" min="20" max="20"/>
    <col width="13" customWidth="1" min="21" max="21"/>
  </cols>
  <sheetData>
    <row r="1">
      <c r="A1" s="1" t="inlineStr">
        <is>
          <t>Costing</t>
        </is>
      </c>
      <c r="B1" s="3" t="inlineStr">
        <is>
          <t>قیمت تمام‌شده = SUMIFS روی Cost_Lines به تفکیک Category. Cost_Per_Unit = Total_Cost / Qty_Basis.</t>
        </is>
      </c>
    </row>
    <row r="2">
      <c r="A2" s="4" t="inlineStr">
        <is>
          <t>System_ID</t>
        </is>
      </c>
      <c r="B2" s="4" t="inlineStr">
        <is>
          <t>Project_ID</t>
        </is>
      </c>
      <c r="C2" s="4" t="inlineStr">
        <is>
          <t>Revision</t>
        </is>
      </c>
      <c r="D2" s="4" t="inlineStr">
        <is>
          <t>Status_ID</t>
        </is>
      </c>
      <c r="E2" s="4" t="inlineStr">
        <is>
          <t>Cost_Basis</t>
        </is>
      </c>
      <c r="F2" s="4" t="inlineStr">
        <is>
          <t>Qty_Basis</t>
        </is>
      </c>
      <c r="G2" s="4" t="inlineStr">
        <is>
          <t>Direct_Material</t>
        </is>
      </c>
      <c r="H2" s="4" t="inlineStr">
        <is>
          <t>Purchased_Parts</t>
        </is>
      </c>
      <c r="I2" s="4" t="inlineStr">
        <is>
          <t>Direct_Labor</t>
        </is>
      </c>
      <c r="J2" s="4" t="inlineStr">
        <is>
          <t>Mfg_Overhead</t>
        </is>
      </c>
      <c r="K2" s="4" t="inlineStr">
        <is>
          <t>Scrap</t>
        </is>
      </c>
      <c r="L2" s="4" t="inlineStr">
        <is>
          <t>Packaging</t>
        </is>
      </c>
      <c r="M2" s="4" t="inlineStr">
        <is>
          <t>Logistics</t>
        </is>
      </c>
      <c r="N2" s="4" t="inlineStr">
        <is>
          <t>Tooling</t>
        </is>
      </c>
      <c r="O2" s="4" t="inlineStr">
        <is>
          <t>SG&amp;A</t>
        </is>
      </c>
      <c r="P2" s="4" t="inlineStr">
        <is>
          <t>Other_Allocated</t>
        </is>
      </c>
      <c r="Q2" s="4" t="inlineStr">
        <is>
          <t>Total_Cost</t>
        </is>
      </c>
      <c r="R2" s="4" t="inlineStr">
        <is>
          <t>Cost_Per_Unit</t>
        </is>
      </c>
      <c r="S2" s="4" t="inlineStr">
        <is>
          <t>Approved_By</t>
        </is>
      </c>
      <c r="T2" s="4" t="inlineStr">
        <is>
          <t>Create_Date</t>
        </is>
      </c>
      <c r="U2" s="4" t="inlineStr">
        <is>
          <t>Created_By</t>
        </is>
      </c>
    </row>
    <row r="3">
      <c r="A3" s="2" t="inlineStr">
        <is>
          <t>CST-000321</t>
        </is>
      </c>
      <c r="B3" s="2" t="inlineStr">
        <is>
          <t>PRJ-2026-00125</t>
        </is>
      </c>
      <c r="C3" s="2" t="inlineStr">
        <is>
          <t>R01</t>
        </is>
      </c>
      <c r="D3" s="2" t="inlineStr">
        <is>
          <t>Approved</t>
        </is>
      </c>
      <c r="E3" s="5" t="n">
        <v>46300</v>
      </c>
      <c r="F3" s="12" t="n">
        <v>2</v>
      </c>
      <c r="G3" s="2">
        <f>SUMIFS(Cost_Lines!$J$3:$J$21,Cost_Lines!$B$3:$B$21,$A3,Cost_Lines!$D$3:$D$21,"Direct Material")</f>
        <v/>
      </c>
      <c r="H3" s="2">
        <f>SUMIFS(Cost_Lines!$J$3:$J$21,Cost_Lines!$B$3:$B$21,$A3,Cost_Lines!$D$3:$D$21,"Purchased Parts")</f>
        <v/>
      </c>
      <c r="I3" s="2">
        <f>SUMIFS(Cost_Lines!$J$3:$J$21,Cost_Lines!$B$3:$B$21,$A3,Cost_Lines!$D$3:$D$21,"Direct Labor")</f>
        <v/>
      </c>
      <c r="J3" s="2">
        <f>SUMIFS(Cost_Lines!$J$3:$J$21,Cost_Lines!$B$3:$B$21,$A3,Cost_Lines!$D$3:$D$21,"Manufacturing Overhead")</f>
        <v/>
      </c>
      <c r="K3" s="6">
        <f>SUMIFS(Cost_Lines!$J$3:$J$21,Cost_Lines!$B$3:$B$21,$A3,Cost_Lines!$D$3:$D$21,"Scrap")</f>
        <v/>
      </c>
      <c r="L3" s="2">
        <f>SUMIFS(Cost_Lines!$J$3:$J$21,Cost_Lines!$B$3:$B$21,$A3,Cost_Lines!$D$3:$D$21,"Packaging")</f>
        <v/>
      </c>
      <c r="M3" s="2">
        <f>SUMIFS(Cost_Lines!$J$3:$J$21,Cost_Lines!$B$3:$B$21,$A3,Cost_Lines!$D$3:$D$21,"Logistics")</f>
        <v/>
      </c>
      <c r="N3" s="2">
        <f>SUMIFS(Cost_Lines!$J$3:$J$21,Cost_Lines!$B$3:$B$21,$A3,Cost_Lines!$D$3:$D$21,"Tooling")</f>
        <v/>
      </c>
      <c r="O3" s="6">
        <f>SUMIFS(Cost_Lines!$J$3:$J$21,Cost_Lines!$B$3:$B$21,$A3,Cost_Lines!$D$3:$D$21,"SG&amp;A")</f>
        <v/>
      </c>
      <c r="P3" s="5" t="n">
        <v>0</v>
      </c>
      <c r="Q3" s="5">
        <f>SUM($G3:$P3)</f>
        <v/>
      </c>
      <c r="R3" s="5">
        <f>IF($F3=0,0,ROUND($Q3/$F3,0))</f>
        <v/>
      </c>
      <c r="S3" s="2" t="inlineStr">
        <is>
          <t>USR-07</t>
        </is>
      </c>
      <c r="T3" s="10" t="n">
        <v>46300</v>
      </c>
      <c r="U3" s="10" t="inlineStr">
        <is>
          <t>USR-07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7_1" sqref="B3:F10" password="A395"/>
    <protectedRange name="ROL-07_2" sqref="S3:S10" password="A395"/>
  </protectedRanges>
  <dataValidations count="3">
    <dataValidation sqref="B3:F43" showDropDown="0" showInputMessage="0" showErrorMessage="1" allowBlank="1" errorTitle="قفل گیت گردش کار" error="گیت ۵: ثبت قیمت تمام‌شده فقط پس از تکمیل برنامه‌ریزی مجاز است. (وضعیت گیت‌ها: شیت Gate_Status)" promptTitle="قفل گیت گردش کار" prompt="گیت ۵: ثبت قیمت تمام‌شده فقط پس از تکمیل برنامه‌ریزی مجاز است." type="custom">
      <formula1>=OR($B3="",IFERROR(INDEX(Gate_Status!$R$3:$R$20,MATCH($B3,Gate_Status!$B$3:$B$20,0)),0)=1)</formula1>
    </dataValidation>
    <dataValidation sqref="S3:S43" showDropDown="0" showInputMessage="0" showErrorMessage="1" allowBlank="1" errorTitle="قفل گیت گردش کار" error="گیت ۵: تأیید قیمت تمام‌شده فقط پس از تکمیل برنامه‌ریزی مجاز است. (وضعیت گیت‌ها: شیت Gate_Status)" promptTitle="قفل گیت گردش کار" prompt="گیت ۵: تأیید قیمت تمام‌شده فقط پس از تکمیل برنامه‌ریزی مجاز است." type="custom">
      <formula1>=OR($B3="",IFERROR(INDEX(Gate_Status!$R$3:$R$20,MATCH($B3,Gate_Status!$B$3:$B$20,0)),0)=1)</formula1>
    </dataValidation>
    <dataValidation sqref="D3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tabColor rgb="00806000"/>
    <outlinePr summaryBelow="1" summaryRight="1"/>
    <pageSetUpPr/>
  </sheetPr>
  <dimension ref="A1:V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1" customWidth="1" min="4" max="4"/>
    <col width="19" customWidth="1" min="5" max="5"/>
    <col width="15" customWidth="1" min="6" max="6"/>
    <col width="19" customWidth="1" min="7" max="7"/>
    <col width="22" customWidth="1" min="8" max="8"/>
    <col width="20" customWidth="1" min="9" max="9"/>
    <col width="18" customWidth="1" min="10" max="10"/>
    <col width="15" customWidth="1" min="11" max="11"/>
    <col width="15" customWidth="1" min="12" max="12"/>
    <col width="19" customWidth="1" min="13" max="13"/>
    <col width="15" customWidth="1" min="14" max="14"/>
    <col width="19" customWidth="1" min="15" max="15"/>
    <col width="20" customWidth="1" min="16" max="16"/>
    <col width="15" customWidth="1" min="17" max="17"/>
    <col width="15" customWidth="1" min="18" max="18"/>
    <col width="18" customWidth="1" min="19" max="19"/>
    <col width="20" customWidth="1" min="20" max="20"/>
    <col width="14" customWidth="1" min="21" max="21"/>
    <col width="13" customWidth="1" min="22" max="22"/>
  </cols>
  <sheetData>
    <row r="1">
      <c r="A1" s="1" t="inlineStr">
        <is>
          <t>Budget</t>
        </is>
      </c>
      <c r="B1" s="3" t="inlineStr">
        <is>
          <t>بودجه اولیه در برابر عملکرد (Actual از Costing). Variance و Budget_vs_Actual زنده محاسبه می‌شوند.</t>
        </is>
      </c>
    </row>
    <row r="2">
      <c r="A2" s="4" t="inlineStr">
        <is>
          <t>System_ID</t>
        </is>
      </c>
      <c r="B2" s="4" t="inlineStr">
        <is>
          <t>Project_ID</t>
        </is>
      </c>
      <c r="C2" s="4" t="inlineStr">
        <is>
          <t>Revision</t>
        </is>
      </c>
      <c r="D2" s="4" t="inlineStr">
        <is>
          <t>Period</t>
        </is>
      </c>
      <c r="E2" s="4" t="inlineStr">
        <is>
          <t>Budget_Material</t>
        </is>
      </c>
      <c r="F2" s="4" t="inlineStr">
        <is>
          <t>Budget_Labor</t>
        </is>
      </c>
      <c r="G2" s="4" t="inlineStr">
        <is>
          <t>Budget_Overhead</t>
        </is>
      </c>
      <c r="H2" s="4" t="inlineStr">
        <is>
          <t>Budget_Procurement</t>
        </is>
      </c>
      <c r="I2" s="4" t="inlineStr">
        <is>
          <t>Budget_Logistics</t>
        </is>
      </c>
      <c r="J2" s="4" t="inlineStr">
        <is>
          <t>Budget_Tooling</t>
        </is>
      </c>
      <c r="K2" s="4" t="inlineStr">
        <is>
          <t>Budget_Other</t>
        </is>
      </c>
      <c r="L2" s="4" t="inlineStr">
        <is>
          <t>Total_Budget</t>
        </is>
      </c>
      <c r="M2" s="4" t="inlineStr">
        <is>
          <t>Actual_Material</t>
        </is>
      </c>
      <c r="N2" s="4" t="inlineStr">
        <is>
          <t>Actual_Labor</t>
        </is>
      </c>
      <c r="O2" s="4" t="inlineStr">
        <is>
          <t>Actual_Overhead</t>
        </is>
      </c>
      <c r="P2" s="4" t="inlineStr">
        <is>
          <t>Actual_Logistics</t>
        </is>
      </c>
      <c r="Q2" s="4" t="inlineStr">
        <is>
          <t>Actual_Other</t>
        </is>
      </c>
      <c r="R2" s="4" t="inlineStr">
        <is>
          <t>Actual_Total</t>
        </is>
      </c>
      <c r="S2" s="4" t="inlineStr">
        <is>
          <t>Variance_Total</t>
        </is>
      </c>
      <c r="T2" s="4" t="inlineStr">
        <is>
          <t>Budget_vs_Actual</t>
        </is>
      </c>
      <c r="U2" s="4" t="inlineStr">
        <is>
          <t>Create_Date</t>
        </is>
      </c>
      <c r="V2" s="4" t="inlineStr">
        <is>
          <t>Created_By</t>
        </is>
      </c>
    </row>
    <row r="3">
      <c r="A3" s="2" t="inlineStr">
        <is>
          <t>BDG-000245</t>
        </is>
      </c>
      <c r="B3" s="2" t="inlineStr">
        <is>
          <t>PRJ-2026-00125</t>
        </is>
      </c>
      <c r="C3" s="2" t="inlineStr">
        <is>
          <t>R01</t>
        </is>
      </c>
      <c r="D3" s="2" t="inlineStr">
        <is>
          <t>2026-Q4</t>
        </is>
      </c>
      <c r="E3" s="5" t="n">
        <v>4000000000</v>
      </c>
      <c r="F3" s="5" t="n">
        <v>350000000</v>
      </c>
      <c r="G3" s="5" t="n">
        <v>700000000</v>
      </c>
      <c r="H3" s="5" t="n">
        <v>200000000</v>
      </c>
      <c r="I3" s="5" t="n">
        <v>150000000</v>
      </c>
      <c r="J3" s="5" t="n">
        <v>100000000</v>
      </c>
      <c r="K3" s="5" t="n">
        <v>50000000</v>
      </c>
      <c r="L3" s="5">
        <f>SUM($E3:$K3)</f>
        <v/>
      </c>
      <c r="M3" s="2">
        <f>Costing!$G$3+Costing!$H$3</f>
        <v/>
      </c>
      <c r="N3" s="2">
        <f>Costing!$I$3</f>
        <v/>
      </c>
      <c r="O3" s="2">
        <f>Costing!$J$3</f>
        <v/>
      </c>
      <c r="P3" s="2">
        <f>Costing!$L$3+Costing!$M$3</f>
        <v/>
      </c>
      <c r="Q3" s="5">
        <f>Costing!$N$3+Costing!$O$3</f>
        <v/>
      </c>
      <c r="R3" s="5">
        <f>Costing!$Q$3</f>
        <v/>
      </c>
      <c r="S3" s="5">
        <f>$R3-$L3</f>
        <v/>
      </c>
      <c r="T3" s="5">
        <f>IF($L3=0,"",ROUND(($R3/$L3)-1,4))</f>
        <v/>
      </c>
      <c r="U3" s="10" t="n">
        <v>46290</v>
      </c>
      <c r="V3" s="10" t="inlineStr">
        <is>
          <t>USR-07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7_1" sqref="B3:K10" password="A395"/>
  </protectedRanges>
  <dataValidations count="1">
    <dataValidation sqref="B3:K43" showDropDown="0" showInputMessage="0" showErrorMessage="1" allowBlank="1" errorTitle="قفل گیت گردش کار" error="گیت ۵: تدوین بودجه فقط پس از تکمیل برنامه‌ریزی مجاز است. (وضعیت گیت‌ها: شیت Gate_Status)" promptTitle="قفل گیت گردش کار" prompt="گیت ۵: تدوین بودجه فقط پس از تکمیل برنامه‌ریزی مجاز است." type="custom">
      <formula1>=OR($B3="",IFERROR(INDEX(Gate_Status!$R$3:$R$20,MATCH($B3,Gate_Status!$B$3:$B$20,0)),0)=1)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tabColor rgb="0070AD47"/>
    <outlinePr summaryBelow="1" summaryRight="1"/>
    <pageSetUpPr/>
  </sheetPr>
  <dimension ref="A1:N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26" customWidth="1" min="4" max="4"/>
    <col width="14" customWidth="1" min="5" max="5"/>
    <col width="21" customWidth="1" min="6" max="6"/>
    <col width="18" customWidth="1" min="7" max="7"/>
    <col width="11" customWidth="1" min="8" max="8"/>
    <col width="22" customWidth="1" min="9" max="9"/>
    <col width="25" customWidth="1" min="10" max="10"/>
    <col width="19" customWidth="1" min="11" max="11"/>
    <col width="18" customWidth="1" min="12" max="12"/>
    <col width="14" customWidth="1" min="13" max="13"/>
    <col width="13" customWidth="1" min="14" max="14"/>
  </cols>
  <sheetData>
    <row r="1">
      <c r="A1" s="1" t="inlineStr">
        <is>
          <t>Payment_Terms</t>
        </is>
      </c>
      <c r="B1" s="3" t="inlineStr">
        <is>
          <t>شرایط پرداخت؛ هزینه مالی اعتبار = بخش اعتباری × نرخ سالانه × مدت/360 (در Sales_Quotation لحاظ می‌شود).</t>
        </is>
      </c>
    </row>
    <row r="2">
      <c r="A2" s="4" t="inlineStr">
        <is>
          <t>System_ID</t>
        </is>
      </c>
      <c r="B2" s="4" t="inlineStr">
        <is>
          <t>Quotation_ID</t>
        </is>
      </c>
      <c r="C2" s="4" t="inlineStr">
        <is>
          <t>Advance_Payment_%</t>
        </is>
      </c>
      <c r="D2" s="4" t="inlineStr">
        <is>
          <t>Payment_On_Delivery_%</t>
        </is>
      </c>
      <c r="E2" s="4" t="inlineStr">
        <is>
          <t>Credit_Days</t>
        </is>
      </c>
      <c r="F2" s="4" t="inlineStr">
        <is>
          <t>Installment_Terms</t>
        </is>
      </c>
      <c r="G2" s="4" t="inlineStr">
        <is>
          <t>Bank_Guarantee</t>
        </is>
      </c>
      <c r="H2" s="4" t="inlineStr">
        <is>
          <t>Currency</t>
        </is>
      </c>
      <c r="I2" s="4" t="inlineStr">
        <is>
          <t>Payment_Risk_Level</t>
        </is>
      </c>
      <c r="J2" s="4" t="inlineStr">
        <is>
          <t>Fin_Cost_Rate_Annual</t>
        </is>
      </c>
      <c r="K2" s="4" t="inlineStr">
        <is>
          <t>Fin_Cost_Amount</t>
        </is>
      </c>
      <c r="L2" s="4" t="inlineStr">
        <is>
          <t>Is_Active_FLAG</t>
        </is>
      </c>
      <c r="M2" s="4" t="inlineStr">
        <is>
          <t>Create_Date</t>
        </is>
      </c>
      <c r="N2" s="4" t="inlineStr">
        <is>
          <t>Created_By</t>
        </is>
      </c>
    </row>
    <row r="3">
      <c r="A3" s="2" t="inlineStr">
        <is>
          <t>PT-0001</t>
        </is>
      </c>
      <c r="B3" s="2" t="inlineStr">
        <is>
          <t>QUO-001</t>
        </is>
      </c>
      <c r="C3" s="6" t="n">
        <v>0.3</v>
      </c>
      <c r="D3" s="10" t="n">
        <v>0.1</v>
      </c>
      <c r="E3" s="11" t="n">
        <v>60</v>
      </c>
      <c r="F3" s="2" t="inlineStr"/>
      <c r="G3" s="2" t="inlineStr">
        <is>
          <t>SBLC 10%</t>
        </is>
      </c>
      <c r="H3" s="2" t="inlineStr">
        <is>
          <t>IRR</t>
        </is>
      </c>
      <c r="I3" s="12" t="inlineStr">
        <is>
          <t>Medium</t>
        </is>
      </c>
      <c r="J3" s="5">
        <f>Settings!$B$6</f>
        <v/>
      </c>
      <c r="K3" s="5">
        <f>IF(Sales_Quotation!$K$4=0,0,Sales_Quotation!$K$4)</f>
        <v/>
      </c>
      <c r="L3" s="2" t="n">
        <v>1</v>
      </c>
      <c r="M3" s="10" t="n">
        <v>46301</v>
      </c>
      <c r="N3" s="10" t="inlineStr">
        <is>
          <t>USR-01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2_1" sqref="C3:I10" password="AC25"/>
  </protectedRanges>
  <dataValidations count="3">
    <dataValidation sqref="C3:I43" showDropDown="0" showInputMessage="0" showErrorMessage="1" allowBlank="1" errorTitle="قفل گیت گردش کار" error="گیت ۶: شرایط پرداخت فقط پس از تکمیل مرحله مالی مجاز است. (وضعیت گیت‌ها: شیت Gate_Status)" promptTitle="قفل گیت گردش کار" prompt="گیت ۶: شرایط پرداخت فقط پس از تکمیل مرحله مالی مجاز است." type="custom">
      <formula1>=OR($B3="",IFERROR(INDEX(Gate_Status!$S$3:$S$20,MATCH(XLOOKUP($B3,Sales_Quotation!$C$3:$C$10,Sales_Quotation!$B$3:$B$10,""),Gate_Status!$B$3:$B$20,0)),0)=1)</formula1>
    </dataValidation>
    <dataValidation sqref="H3" showDropDown="0" showInputMessage="0" showErrorMessage="1" allowBlank="1" errorTitle="Data Validation" error="مقدار خارج از فهرست مجاز است" promptTitle="Currency" prompt="انتخاب از فهرست مجاز برای Currency" type="list">
      <formula1>"IRR,USD,EUR"</formula1>
    </dataValidation>
    <dataValidation sqref="I3" showDropDown="0" showInputMessage="0" showErrorMessage="1" allowBlank="1" errorTitle="Data Validation" error="مقدار خارج از فهرست مجاز است" promptTitle="Payment_Risk_Level" prompt="انتخاب از فهرست مجاز برای Payment_Risk_Level" type="list">
      <formula1>"Low,Medium,High"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tabColor rgb="0070AD47"/>
    <outlinePr summaryBelow="1" summaryRight="1"/>
    <pageSetUpPr/>
  </sheetPr>
  <dimension ref="A1:Q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1" customWidth="1" min="4" max="4"/>
    <col width="13" customWidth="1" min="5" max="5"/>
    <col width="13" customWidth="1" min="6" max="6"/>
    <col width="20" customWidth="1" min="7" max="7"/>
    <col width="16" customWidth="1" min="8" max="8"/>
    <col width="26" customWidth="1" min="9" max="9"/>
    <col width="19" customWidth="1" min="10" max="10"/>
    <col width="25" customWidth="1" min="11" max="11"/>
    <col width="27" customWidth="1" min="12" max="12"/>
    <col width="11" customWidth="1" min="13" max="13"/>
    <col width="13" customWidth="1" min="14" max="14"/>
    <col width="12" customWidth="1" min="15" max="15"/>
    <col width="14" customWidth="1" min="16" max="16"/>
    <col width="13" customWidth="1" min="17" max="17"/>
  </cols>
  <sheetData>
    <row r="1">
      <c r="A1" s="1" t="inlineStr">
        <is>
          <t>Sales_Quotation</t>
        </is>
      </c>
      <c r="B1" s="3" t="inlineStr">
        <is>
          <t>سناریوهای A/B/C. Proposed = Cost + Margin + Commercial + Risk + Financial (هزینه مالی اعتبار). هیچ سناریو بدون Basis_Memo معتبر نیست.</t>
        </is>
      </c>
    </row>
    <row r="2">
      <c r="A2" s="4" t="inlineStr">
        <is>
          <t>System_ID</t>
        </is>
      </c>
      <c r="B2" s="4" t="inlineStr">
        <is>
          <t>Project_ID</t>
        </is>
      </c>
      <c r="C2" s="4" t="inlineStr">
        <is>
          <t>Quotation_Code</t>
        </is>
      </c>
      <c r="D2" s="4" t="inlineStr">
        <is>
          <t>Scenario</t>
        </is>
      </c>
      <c r="E2" s="4" t="inlineStr">
        <is>
          <t>Costing_ID</t>
        </is>
      </c>
      <c r="F2" s="4" t="inlineStr">
        <is>
          <t>Total_Cost</t>
        </is>
      </c>
      <c r="G2" s="4" t="inlineStr">
        <is>
          <t>Desired_Margin_%</t>
        </is>
      </c>
      <c r="H2" s="4" t="inlineStr">
        <is>
          <t>Margin_Amount</t>
        </is>
      </c>
      <c r="I2" s="4" t="inlineStr">
        <is>
          <t>Commercial_Adjustment</t>
        </is>
      </c>
      <c r="J2" s="4" t="inlineStr">
        <is>
          <t>Risk_Adjustment</t>
        </is>
      </c>
      <c r="K2" s="4" t="inlineStr">
        <is>
          <t>Financial_Adjustment</t>
        </is>
      </c>
      <c r="L2" s="4" t="inlineStr">
        <is>
          <t>Proposed_Selling_Price</t>
        </is>
      </c>
      <c r="M2" s="4" t="inlineStr">
        <is>
          <t>Currency</t>
        </is>
      </c>
      <c r="N2" s="4" t="inlineStr">
        <is>
          <t>Basis_Memo</t>
        </is>
      </c>
      <c r="O2" s="4" t="inlineStr">
        <is>
          <t>Status_ID</t>
        </is>
      </c>
      <c r="P2" s="4" t="inlineStr">
        <is>
          <t>Create_Date</t>
        </is>
      </c>
      <c r="Q2" s="4" t="inlineStr">
        <is>
          <t>Created_By</t>
        </is>
      </c>
    </row>
    <row r="3">
      <c r="A3" s="2" t="inlineStr">
        <is>
          <t>QUO-2026-00125</t>
        </is>
      </c>
      <c r="B3" s="2" t="inlineStr">
        <is>
          <t>PRJ-2026-00125</t>
        </is>
      </c>
      <c r="C3" s="2" t="inlineStr">
        <is>
          <t>QUO-001</t>
        </is>
      </c>
      <c r="D3" s="2" t="inlineStr">
        <is>
          <t>Scenario A</t>
        </is>
      </c>
      <c r="E3" s="5" t="inlineStr">
        <is>
          <t>CST-000321</t>
        </is>
      </c>
      <c r="F3" s="5">
        <f>IF($D3&lt;&gt;"",XLOOKUP($E3,Costing!$A$3:$A$10,Costing!$Q$3:$Q$10,0),0)</f>
        <v/>
      </c>
      <c r="G3" s="6" t="n">
        <v>0.12</v>
      </c>
      <c r="H3" s="6">
        <f>ROUND($F3*$G3,0)</f>
        <v/>
      </c>
      <c r="I3" s="5" t="n">
        <v>20000000</v>
      </c>
      <c r="J3" s="5" t="n">
        <v>0</v>
      </c>
      <c r="K3" s="5">
        <f>ROUND((1-Payment_Terms!$C$3-Payment_Terms!$D$3)*$F3*Settings!$B$6*(Payment_Terms!$E$3/360),0)</f>
        <v/>
      </c>
      <c r="L3" s="5">
        <f>ROUND($F3+$H3+$I3+$J3+$K3,0)</f>
        <v/>
      </c>
      <c r="M3" s="2" t="inlineStr">
        <is>
          <t>IRR</t>
        </is>
      </c>
      <c r="N3" s="2" t="inlineStr">
        <is>
          <t>Margin 12% روی کل هزینه به علاوه پوشش هزینه بازرگانی؛ بدون تعدیل ریسک</t>
        </is>
      </c>
      <c r="O3" s="2" t="inlineStr">
        <is>
          <t>Submitted</t>
        </is>
      </c>
      <c r="P3" s="10" t="n">
        <v>46301</v>
      </c>
      <c r="Q3" s="10" t="inlineStr">
        <is>
          <t>USR-01</t>
        </is>
      </c>
    </row>
    <row r="4">
      <c r="A4" s="7" t="inlineStr">
        <is>
          <t>QUO-2026-00125</t>
        </is>
      </c>
      <c r="B4" s="7" t="inlineStr">
        <is>
          <t>PRJ-2026-00125</t>
        </is>
      </c>
      <c r="C4" s="7" t="inlineStr">
        <is>
          <t>QUO-001</t>
        </is>
      </c>
      <c r="D4" s="7" t="inlineStr">
        <is>
          <t>Scenario B</t>
        </is>
      </c>
      <c r="E4" s="8" t="inlineStr">
        <is>
          <t>CST-000321</t>
        </is>
      </c>
      <c r="F4" s="8">
        <f>IF($D4&lt;&gt;"",XLOOKUP($E4,Costing!$A$3:$A$10,Costing!$Q$3:$Q$10,0),0)</f>
        <v/>
      </c>
      <c r="G4" s="9" t="n">
        <v>0.1</v>
      </c>
      <c r="H4" s="9">
        <f>ROUND($F4*$G4,0)</f>
        <v/>
      </c>
      <c r="I4" s="8" t="n">
        <v>10000000</v>
      </c>
      <c r="J4" s="8" t="n">
        <v>15000000</v>
      </c>
      <c r="K4" s="8">
        <f>ROUND((1-Payment_Terms!$C$3-Payment_Terms!$D$3)*$F4*Settings!$B$6*(Payment_Terms!$E$3/360),0)</f>
        <v/>
      </c>
      <c r="L4" s="8">
        <f>ROUND($F4+$H4+$I4+$J4+$K4,0)</f>
        <v/>
      </c>
      <c r="M4" s="7" t="inlineStr">
        <is>
          <t>IRR</t>
        </is>
      </c>
      <c r="N4" s="7" t="inlineStr">
        <is>
          <t>Margin 10% + پوشش ریسک ارزی/زنجیره 15M؛ گزینه باثبات‌تر</t>
        </is>
      </c>
      <c r="O4" s="7" t="inlineStr">
        <is>
          <t>Submitted</t>
        </is>
      </c>
      <c r="P4" s="13" t="n">
        <v>46301</v>
      </c>
      <c r="Q4" s="13" t="inlineStr">
        <is>
          <t>USR-01</t>
        </is>
      </c>
    </row>
    <row r="5">
      <c r="A5" s="2" t="inlineStr">
        <is>
          <t>QUO-2026-00125</t>
        </is>
      </c>
      <c r="B5" s="2" t="inlineStr">
        <is>
          <t>PRJ-2026-00125</t>
        </is>
      </c>
      <c r="C5" s="2" t="inlineStr">
        <is>
          <t>QUO-001</t>
        </is>
      </c>
      <c r="D5" s="2" t="inlineStr">
        <is>
          <t>Scenario C</t>
        </is>
      </c>
      <c r="E5" s="5" t="inlineStr">
        <is>
          <t>CST-000321</t>
        </is>
      </c>
      <c r="F5" s="5">
        <f>IF($D5&lt;&gt;"",XLOOKUP($E5,Costing!$A$3:$A$10,Costing!$Q$3:$Q$10,0),0)</f>
        <v/>
      </c>
      <c r="G5" s="6" t="n">
        <v>0.15</v>
      </c>
      <c r="H5" s="6">
        <f>ROUND($F5*$G5,0)</f>
        <v/>
      </c>
      <c r="I5" s="5" t="n">
        <v>0</v>
      </c>
      <c r="J5" s="5" t="n">
        <v>30000000</v>
      </c>
      <c r="K5" s="5">
        <f>ROUND((1-Payment_Terms!$C$3-Payment_Terms!$D$3)*$F5*Settings!$B$6*(Payment_Terms!$E$3/360),0)</f>
        <v/>
      </c>
      <c r="L5" s="5">
        <f>ROUND($F5+$H5+$I5+$J5+$K5,0)</f>
        <v/>
      </c>
      <c r="M5" s="2" t="inlineStr">
        <is>
          <t>IRR</t>
        </is>
      </c>
      <c r="N5" s="2" t="inlineStr">
        <is>
          <t>Margin تهاجمی 15% + تعدیل ریسک بالاتر برای تأخیر تأمین</t>
        </is>
      </c>
      <c r="O5" s="2" t="inlineStr">
        <is>
          <t>Draft</t>
        </is>
      </c>
      <c r="P5" s="10" t="n">
        <v>46301</v>
      </c>
      <c r="Q5" s="10" t="inlineStr">
        <is>
          <t>USR-01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2_1" sqref="G3:G10" password="AC25"/>
    <protectedRange name="ROL-02_2" sqref="I3:J10" password="AC25"/>
    <protectedRange name="ROL-02_3" sqref="M3:N10" password="AC25"/>
  </protectedRanges>
  <dataValidations count="3">
    <dataValidation sqref="G3:N45" showDropDown="0" showInputMessage="0" showErrorMessage="1" allowBlank="1" errorTitle="قفل گیت گردش کار" error="گیت ۶: تعیین قیمت نهایی/حاشیه فقط پس از تأیید قیمت تمام‌شده توسط مالی مجاز است. (وضعیت گیت‌ها: شیت Gate_Status)" promptTitle="قفل گیت گردش کار" prompt="گیت ۶: تعیین قیمت نهایی/حاشیه فقط پس از تأیید قیمت تمام‌شده توسط مالی مجاز است." type="custom">
      <formula1>=OR($B3="",IFERROR(INDEX(Gate_Status!$S$3:$S$20,MATCH($B3,Gate_Status!$B$3:$B$20,0)),0)=1)</formula1>
    </dataValidation>
    <dataValidation sqref="M3:M5" showDropDown="0" showInputMessage="0" showErrorMessage="1" allowBlank="1" errorTitle="Data Validation" error="مقدار خارج از فهرست مجاز است" promptTitle="Currency" prompt="انتخاب از فهرست مجاز برای Currency" type="list">
      <formula1>"IRR,USD,EUR"</formula1>
    </dataValidation>
    <dataValidation sqref="O3:O5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tabColor rgb="0070AD47"/>
    <outlinePr summaryBelow="1" summaryRight="1"/>
    <pageSetUpPr/>
  </sheetPr>
  <dimension ref="A1:L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3" customWidth="1" min="4" max="4"/>
    <col width="13" customWidth="1" min="5" max="5"/>
    <col width="16" customWidth="1" min="6" max="6"/>
    <col width="27" customWidth="1" min="7" max="7"/>
    <col width="18" customWidth="1" min="8" max="8"/>
    <col width="16" customWidth="1" min="9" max="9"/>
    <col width="12" customWidth="1" min="10" max="10"/>
    <col width="14" customWidth="1" min="11" max="11"/>
    <col width="13" customWidth="1" min="12" max="12"/>
  </cols>
  <sheetData>
    <row r="1">
      <c r="A1" s="1" t="inlineStr">
        <is>
          <t>Quotation_Versions</t>
        </is>
      </c>
      <c r="B1" s="3" t="inlineStr">
        <is>
          <t>نسخه‌های پیشنهاد؛ نسخه قبلی هرگز Overwrite نمی‌شود. (نمونه: نسخه V01 از سناریو B)</t>
        </is>
      </c>
    </row>
    <row r="2">
      <c r="A2" s="4" t="inlineStr">
        <is>
          <t>System_ID</t>
        </is>
      </c>
      <c r="B2" s="4" t="inlineStr">
        <is>
          <t>Quotation_ID</t>
        </is>
      </c>
      <c r="C2" s="4" t="inlineStr">
        <is>
          <t>Version_No</t>
        </is>
      </c>
      <c r="D2" s="4" t="inlineStr">
        <is>
          <t>Costing_Revision_ID</t>
        </is>
      </c>
      <c r="E2" s="4" t="inlineStr">
        <is>
          <t>Total_Cost</t>
        </is>
      </c>
      <c r="F2" s="4" t="inlineStr">
        <is>
          <t>Margin_Amount</t>
        </is>
      </c>
      <c r="G2" s="4" t="inlineStr">
        <is>
          <t>Proposed_Selling_Price</t>
        </is>
      </c>
      <c r="H2" s="4" t="inlineStr">
        <is>
          <t>Change_Summary</t>
        </is>
      </c>
      <c r="I2" s="4" t="inlineStr">
        <is>
          <t>Approved_Step</t>
        </is>
      </c>
      <c r="J2" s="4" t="inlineStr">
        <is>
          <t>Status_ID</t>
        </is>
      </c>
      <c r="K2" s="4" t="inlineStr">
        <is>
          <t>Create_Date</t>
        </is>
      </c>
      <c r="L2" s="4" t="inlineStr">
        <is>
          <t>Created_By</t>
        </is>
      </c>
    </row>
    <row r="3">
      <c r="A3" s="2" t="inlineStr">
        <is>
          <t>QUO-00125-V01</t>
        </is>
      </c>
      <c r="B3" s="2" t="inlineStr">
        <is>
          <t>QUO-001</t>
        </is>
      </c>
      <c r="C3" s="2" t="inlineStr">
        <is>
          <t>V01</t>
        </is>
      </c>
      <c r="D3" s="5" t="inlineStr">
        <is>
          <t>CST-000321</t>
        </is>
      </c>
      <c r="E3" s="5">
        <f>Sales_Quotation!$F$4</f>
        <v/>
      </c>
      <c r="F3" s="6">
        <f>Sales_Quotation!$H$4</f>
        <v/>
      </c>
      <c r="G3" s="5">
        <f>Sales_Quotation!$L$4</f>
        <v/>
      </c>
      <c r="H3" s="2" t="n"/>
      <c r="I3" s="2" t="n"/>
      <c r="J3" s="2" t="inlineStr">
        <is>
          <t>Approved</t>
        </is>
      </c>
      <c r="K3" s="10" t="n">
        <v>46301</v>
      </c>
      <c r="L3" s="10" t="inlineStr">
        <is>
          <t>USR-01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2_1" sqref="B3:D10" password="AC25"/>
    <protectedRange name="ROL-02_2" sqref="H3:H10" password="AC25"/>
  </protectedRanges>
  <dataValidations count="2">
    <dataValidation sqref="B3:H43" showDropDown="0" showInputMessage="0" showErrorMessage="1" allowBlank="1" errorTitle="قفل گیت گردش کار" error="گیت ۶: صدور نسخه پیشنهاد فقط پس از تکمیل مرحله مالی مجاز است. (وضعیت گیت‌ها: شیت Gate_Status)" promptTitle="قفل گیت گردش کار" prompt="گیت ۶: صدور نسخه پیشنهاد فقط پس از تکمیل مرحله مالی مجاز است." type="custom">
      <formula1>=OR($B3="",IFERROR(INDEX(Gate_Status!$S$3:$S$20,MATCH(XLOOKUP($B3,Sales_Quotation!$C$3:$C$10,Sales_Quotation!$B$3:$B$10,""),Gate_Status!$B$3:$B$20,0)),0)=1)</formula1>
    </dataValidation>
    <dataValidation sqref="J3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tabColor rgb="000F4C81"/>
    <outlinePr summaryBelow="1" summaryRight="1"/>
    <pageSetUpPr/>
  </sheetPr>
  <dimension ref="A1:M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22" customWidth="1" min="4" max="4"/>
    <col width="23" customWidth="1" min="5" max="5"/>
    <col width="22" customWidth="1" min="6" max="6"/>
    <col width="29" customWidth="1" min="7" max="7"/>
    <col width="14" customWidth="1" min="8" max="8"/>
    <col width="11" customWidth="1" min="9" max="9"/>
    <col width="16" customWidth="1" min="10" max="10"/>
    <col width="14" customWidth="1" min="11" max="11"/>
    <col width="14" customWidth="1" min="12" max="12"/>
    <col width="13" customWidth="1" min="13" max="13"/>
  </cols>
  <sheetData>
    <row r="1">
      <c r="A1" s="1" t="inlineStr">
        <is>
          <t>PMO_Summary</t>
        </is>
      </c>
      <c r="B1" s="3" t="inlineStr">
        <is>
          <t>مدیر پروژه: جمع‌بندی عملکرد واحدها + به‌روزرسانی گانت/امکان‌سنجی + تاریخ اعلام به ارشد. تصمیم ستون I از Management_Approval خوانده می‌شود (فقط مشاهده).</t>
        </is>
      </c>
    </row>
    <row r="2">
      <c r="A2" s="4" t="inlineStr">
        <is>
          <t>System_ID</t>
        </is>
      </c>
      <c r="B2" s="4" t="inlineStr">
        <is>
          <t>Project_ID</t>
        </is>
      </c>
      <c r="C2" s="4" t="inlineStr">
        <is>
          <t>Units_Completed</t>
        </is>
      </c>
      <c r="D2" s="4" t="inlineStr">
        <is>
          <t>Completion_Percent</t>
        </is>
      </c>
      <c r="E2" s="4" t="inlineStr">
        <is>
          <t>Performance_Summary</t>
        </is>
      </c>
      <c r="F2" s="4" t="inlineStr">
        <is>
          <t>Gantt_Updated_Flag</t>
        </is>
      </c>
      <c r="G2" s="4" t="inlineStr">
        <is>
          <t>Feasibility_Updated_Flag</t>
        </is>
      </c>
      <c r="H2" s="4" t="inlineStr">
        <is>
          <t>Report_Date</t>
        </is>
      </c>
      <c r="I2" s="4" t="inlineStr">
        <is>
          <t>Decision</t>
        </is>
      </c>
      <c r="J2" s="4" t="inlineStr">
        <is>
          <t>Reported_Flag</t>
        </is>
      </c>
      <c r="K2" s="4" t="inlineStr">
        <is>
          <t>Next_Action</t>
        </is>
      </c>
      <c r="L2" s="4" t="inlineStr">
        <is>
          <t>Create_Date</t>
        </is>
      </c>
      <c r="M2" s="4" t="inlineStr">
        <is>
          <t>Created_By</t>
        </is>
      </c>
    </row>
    <row r="3">
      <c r="A3" s="2" t="inlineStr">
        <is>
          <t>PMO-000125</t>
        </is>
      </c>
      <c r="B3" s="2" t="inlineStr">
        <is>
          <t>PRJ-2026-00125</t>
        </is>
      </c>
      <c r="C3" s="2">
        <f>IFERROR(XLOOKUP($B3,Gate_Status!$B$3:$B$20,Gate_Status!$V$3:$V$20),0)</f>
        <v/>
      </c>
      <c r="D3" s="6">
        <f>ROUND($C3/8,3)</f>
        <v/>
      </c>
      <c r="E3" s="2" t="inlineStr">
        <is>
          <t>عملکرد واحدها مطابق برنامه: مهندسی و بازرگانی به‌موقع؛ برنامه‌ریزی تولید زمان‌بندی نیاز اقلام را صادر کرد؛ مالی قیمت تمام‌شده و بودجه راه‌اندازی را تدوین نمود. ریسک باقیمانده: تأمین مکانیکال سیل (پایش هفتگی).</t>
        </is>
      </c>
      <c r="F3" s="10" t="inlineStr">
        <is>
          <t>Yes</t>
        </is>
      </c>
      <c r="G3" s="10" t="inlineStr">
        <is>
          <t>Yes</t>
        </is>
      </c>
      <c r="H3" s="10" t="n">
        <v>46301</v>
      </c>
      <c r="I3" s="2">
        <f>IFERROR(XLOOKUP($B3,Management_Approval!$C$3:$C$10,Management_Approval!$D$3:$D$10,""),"")</f>
        <v/>
      </c>
      <c r="J3" s="2">
        <f>IF($H3&lt;&gt;"","REPORTED","NOT REPORTED")</f>
        <v/>
      </c>
      <c r="K3" s="2">
        <f>IF($I3="APPROVED","پروژه مصوب — شروع اجرا",IF($I3="APPROVED WITH CONDITION","مصوب مشروط — پیگیری شروط",IF($I3="RETURN FOR REVISION","اصلاح و ارسال مجدد",IF($I3="REJECTED","بایگانی/خاتمه","در انتظار تصمیم مدیریت ارشد"))))</f>
        <v/>
      </c>
      <c r="L3" s="10" t="n">
        <v>46301</v>
      </c>
      <c r="M3" s="10" t="inlineStr">
        <is>
          <t>USR-03</t>
        </is>
      </c>
    </row>
    <row r="4">
      <c r="A4" s="7" t="inlineStr">
        <is>
          <t>PMO-000126</t>
        </is>
      </c>
      <c r="B4" s="7" t="inlineStr">
        <is>
          <t>PRJ-2026-00126</t>
        </is>
      </c>
      <c r="C4" s="7">
        <f>IFERROR(XLOOKUP($B4,Gate_Status!$B$3:$B$20,Gate_Status!$V$3:$V$20),0)</f>
        <v/>
      </c>
      <c r="D4" s="9">
        <f>ROUND($C4/8,3)</f>
        <v/>
      </c>
      <c r="E4" s="7" t="inlineStr"/>
      <c r="F4" s="13" t="inlineStr"/>
      <c r="G4" s="13" t="inlineStr"/>
      <c r="H4" s="13" t="n"/>
      <c r="I4" s="7">
        <f>IFERROR(XLOOKUP($B4,Management_Approval!$C$3:$C$10,Management_Approval!$D$3:$D$10,""),"")</f>
        <v/>
      </c>
      <c r="J4" s="7">
        <f>IF($H4&lt;&gt;"","REPORTED","NOT REPORTED")</f>
        <v/>
      </c>
      <c r="K4" s="7">
        <f>IF($I4="APPROVED","پروژه مصوب — شروع اجرا",IF($I4="APPROVED WITH CONDITION","مصوب مشروط — پیگیری شروط",IF($I4="RETURN FOR REVISION","اصلاح و ارسال مجدد",IF($I4="REJECTED","بایگانی/خاتمه","در انتظار تصمیم مدیریت ارشد"))))</f>
        <v/>
      </c>
      <c r="L4" s="13" t="n">
        <v>46288</v>
      </c>
      <c r="M4" s="13" t="inlineStr">
        <is>
          <t>USR-03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3_1" sqref="E3:H10" password="A825"/>
  </protectedRanges>
  <dataValidations count="4">
    <dataValidation sqref="E3:H44" showDropDown="0" showInputMessage="0" showErrorMessage="1" allowBlank="1" errorTitle="قفل گیت گردش کار" error="گیت ۷: جمع‌بندی و اعلام به ارشد فقط پس از تکمیل قیمت‌گذاری فروش مجاز است. (وضعیت گیت‌ها: شیت Gate_Status)" promptTitle="قفل گیت گردش کار" prompt="گیت ۷: جمع‌بندی و اعلام به ارشد فقط پس از تکمیل قیمت‌گذاری فروش مجاز است." type="custom">
      <formula1>=OR($B3="",IFERROR(INDEX(Gate_Status!$T$3:$T$20,MATCH($B3,Gate_Status!$B$3:$B$20,0)),0)=1)</formula1>
    </dataValidation>
    <dataValidation sqref="F3:F4" showDropDown="0" showInputMessage="0" showErrorMessage="1" allowBlank="1" errorTitle="Data Validation" error="مقدار خارج از فهرست مجاز است" promptTitle="Gantt_Updated_Flag" prompt="انتخاب از فهرست مجاز برای Gantt_Updated_Flag" type="list">
      <formula1>"Yes,No"</formula1>
    </dataValidation>
    <dataValidation sqref="G3:G4" showDropDown="0" showInputMessage="0" showErrorMessage="1" allowBlank="1" errorTitle="Data Validation" error="مقدار خارج از فهرست مجاز است" promptTitle="Feasibility_Updated_Flag" prompt="انتخاب از فهرست مجاز برای Feasibility_Updated_Flag" type="list">
      <formula1>"Yes,No"</formula1>
    </dataValidation>
    <dataValidation sqref="I3:I4" showDropDown="0" showInputMessage="0" showErrorMessage="1" allowBlank="1" errorTitle="Data Validation" error="مقدار خارج از فهرست مجاز است" promptTitle="Decision" prompt="انتخاب از فهرست مجاز برای Decision" type="list">
      <formula1>"APPROVED,APPROVED WITH CONDITION,RETURN FOR REVISION,REJECTED"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tabColor rgb="00C00000"/>
    <outlinePr summaryBelow="1" summaryRight="1"/>
    <pageSetUpPr/>
  </sheetPr>
  <dimension ref="A1:K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11" customWidth="1" min="4" max="4"/>
    <col width="18" customWidth="1" min="5" max="5"/>
    <col width="16" customWidth="1" min="6" max="6"/>
    <col width="11" customWidth="1" min="7" max="7"/>
    <col width="14" customWidth="1" min="8" max="8"/>
    <col width="12" customWidth="1" min="9" max="9"/>
    <col width="14" customWidth="1" min="10" max="10"/>
    <col width="13" customWidth="1" min="11" max="11"/>
  </cols>
  <sheetData>
    <row r="1">
      <c r="A1" s="1" t="inlineStr">
        <is>
          <t>Management_Approval</t>
        </is>
      </c>
      <c r="B1" s="3" t="inlineStr">
        <is>
          <t>تصمیم مدیریت ارشد: APPROVED / APPROVED WITH CONDITION / RETURN FOR REVISION / REJECTED.</t>
        </is>
      </c>
    </row>
    <row r="2">
      <c r="A2" s="4" t="inlineStr">
        <is>
          <t>System_ID</t>
        </is>
      </c>
      <c r="B2" s="4" t="inlineStr">
        <is>
          <t>Quotation_Version_ID</t>
        </is>
      </c>
      <c r="C2" s="4" t="inlineStr">
        <is>
          <t>Project_ID</t>
        </is>
      </c>
      <c r="D2" s="4" t="inlineStr">
        <is>
          <t>Decision</t>
        </is>
      </c>
      <c r="E2" s="4" t="inlineStr">
        <is>
          <t>Decision_Maker</t>
        </is>
      </c>
      <c r="F2" s="4" t="inlineStr">
        <is>
          <t>Decision_Date</t>
        </is>
      </c>
      <c r="G2" s="4" t="inlineStr">
        <is>
          <t>Comment</t>
        </is>
      </c>
      <c r="H2" s="4" t="inlineStr">
        <is>
          <t>Version_Ref</t>
        </is>
      </c>
      <c r="I2" s="4" t="inlineStr">
        <is>
          <t>Status_ID</t>
        </is>
      </c>
      <c r="J2" s="4" t="inlineStr">
        <is>
          <t>Create_Date</t>
        </is>
      </c>
      <c r="K2" s="4" t="inlineStr">
        <is>
          <t>Created_By</t>
        </is>
      </c>
    </row>
    <row r="3">
      <c r="A3" s="2" t="inlineStr">
        <is>
          <t>APR-000547</t>
        </is>
      </c>
      <c r="B3" s="2" t="inlineStr">
        <is>
          <t>QUO-00125-V01</t>
        </is>
      </c>
      <c r="C3" s="2" t="inlineStr">
        <is>
          <t>PRJ-2026-00125</t>
        </is>
      </c>
      <c r="D3" s="2" t="inlineStr">
        <is>
          <t>APPROVED WITH CONDITION</t>
        </is>
      </c>
      <c r="E3" s="2" t="inlineStr">
        <is>
          <t>USR-08</t>
        </is>
      </c>
      <c r="F3" s="10" t="n">
        <v>46302</v>
      </c>
      <c r="G3" s="2" t="inlineStr">
        <is>
          <t>مشروط به تأمین مکانیکال سیل قبل از ۱۵ آبان و تعهد کتبی بلبرینگ</t>
        </is>
      </c>
      <c r="H3" s="2" t="inlineStr">
        <is>
          <t>QUO-00125-V01</t>
        </is>
      </c>
      <c r="I3" s="2" t="inlineStr">
        <is>
          <t>Approved</t>
        </is>
      </c>
      <c r="J3" s="10" t="n">
        <v>46302</v>
      </c>
      <c r="K3" s="10" t="inlineStr">
        <is>
          <t>USR-08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8_1" sqref="D3:H10" password="AEB9"/>
  </protectedRanges>
  <dataValidations count="3">
    <dataValidation sqref="D3:H43" showDropDown="0" showInputMessage="0" showErrorMessage="1" allowBlank="1" errorTitle="قفل گیت گردش کار" error="گیت ۸: ثبت تصمیم مدیریت ارشد فقط پس از ارسال گزارش جمع‌بندی مجاز است. (وضعیت گیت‌ها: شیت Gate_Status)" promptTitle="قفل گیت گردش کار" prompt="گیت ۸: ثبت تصمیم مدیریت ارشد فقط پس از ارسال گزارش جمع‌بندی مجاز است." type="custom">
      <formula1>=OR($B3="",IFERROR(INDEX(Gate_Status!$U$3:$U$20,MATCH($B3,Gate_Status!$B$3:$B$20,0)),0)=1)</formula1>
    </dataValidation>
    <dataValidation sqref="D3" showDropDown="0" showInputMessage="0" showErrorMessage="1" allowBlank="1" errorTitle="Data Validation" error="مقدار خارج از فهرست مجاز است" promptTitle="Decision" prompt="انتخاب از فهرست مجاز برای Decision" type="list">
      <formula1>"APPROVED,APPROVED WITH CONDITION,RETURN FOR REVISION,REJECTED"</formula1>
    </dataValidation>
    <dataValidation sqref="I3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tabColor rgb="00A6A6A6"/>
    <outlinePr summaryBelow="1" summaryRight="1"/>
    <pageSetUpPr/>
  </sheetPr>
  <dimension ref="A1:G1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5" customWidth="1" min="4" max="4"/>
    <col width="13" customWidth="1" min="5" max="5"/>
    <col width="11" customWidth="1" min="6" max="6"/>
    <col width="11" customWidth="1" min="7" max="7"/>
  </cols>
  <sheetData>
    <row r="1">
      <c r="A1" s="1" t="inlineStr">
        <is>
          <t>Project_Statuses</t>
        </is>
      </c>
    </row>
    <row r="2">
      <c r="A2" s="4" t="inlineStr">
        <is>
          <t>System_ID</t>
        </is>
      </c>
      <c r="B2" s="4" t="inlineStr">
        <is>
          <t>Project_ID</t>
        </is>
      </c>
      <c r="C2" s="4" t="inlineStr">
        <is>
          <t>Stage</t>
        </is>
      </c>
      <c r="D2" s="4" t="inlineStr">
        <is>
          <t>Stage_Status</t>
        </is>
      </c>
      <c r="E2" s="4" t="inlineStr">
        <is>
          <t>Start_Date</t>
        </is>
      </c>
      <c r="F2" s="4" t="inlineStr">
        <is>
          <t>End_Date</t>
        </is>
      </c>
      <c r="G2" s="4" t="inlineStr">
        <is>
          <t>Remark</t>
        </is>
      </c>
    </row>
    <row r="3">
      <c r="A3" s="2" t="inlineStr">
        <is>
          <t>PS-0001</t>
        </is>
      </c>
      <c r="B3" s="2" t="inlineStr">
        <is>
          <t>PRJ-2026-00125</t>
        </is>
      </c>
      <c r="C3" s="2" t="inlineStr">
        <is>
          <t>Sales</t>
        </is>
      </c>
      <c r="D3" s="2" t="inlineStr">
        <is>
          <t>Completed</t>
        </is>
      </c>
      <c r="E3" s="10" t="n">
        <v>46285</v>
      </c>
      <c r="F3" s="10" t="n">
        <v>46286</v>
      </c>
      <c r="G3" s="2" t="inlineStr"/>
    </row>
    <row r="4">
      <c r="A4" s="7" t="inlineStr">
        <is>
          <t>PS-0002</t>
        </is>
      </c>
      <c r="B4" s="7" t="inlineStr">
        <is>
          <t>PRJ-2026-00125</t>
        </is>
      </c>
      <c r="C4" s="7" t="inlineStr">
        <is>
          <t>Engineering</t>
        </is>
      </c>
      <c r="D4" s="7" t="inlineStr">
        <is>
          <t>Completed</t>
        </is>
      </c>
      <c r="E4" s="13" t="n">
        <v>46286</v>
      </c>
      <c r="F4" s="13" t="n">
        <v>46295</v>
      </c>
      <c r="G4" s="7" t="inlineStr">
        <is>
          <t>BOM R5 تأیید شد</t>
        </is>
      </c>
    </row>
    <row r="5">
      <c r="A5" s="2" t="inlineStr">
        <is>
          <t>PS-0003</t>
        </is>
      </c>
      <c r="B5" s="2" t="inlineStr">
        <is>
          <t>PRJ-2026-00125</t>
        </is>
      </c>
      <c r="C5" s="2" t="inlineStr">
        <is>
          <t>Planning</t>
        </is>
      </c>
      <c r="D5" s="2" t="inlineStr">
        <is>
          <t>In Progress</t>
        </is>
      </c>
      <c r="E5" s="10" t="n">
        <v>46296</v>
      </c>
      <c r="F5" s="10" t="n"/>
      <c r="G5" s="2" t="inlineStr">
        <is>
          <t>برآورد نیاز در حال انجام</t>
        </is>
      </c>
    </row>
    <row r="6">
      <c r="A6" s="7" t="inlineStr">
        <is>
          <t>PS-0004</t>
        </is>
      </c>
      <c r="B6" s="7" t="inlineStr">
        <is>
          <t>PRJ-2026-00125</t>
        </is>
      </c>
      <c r="C6" s="7" t="inlineStr">
        <is>
          <t>Procurement</t>
        </is>
      </c>
      <c r="D6" s="7" t="inlineStr">
        <is>
          <t>Pending</t>
        </is>
      </c>
      <c r="E6" s="13" t="n"/>
      <c r="F6" s="13" t="n"/>
      <c r="G6" s="7" t="inlineStr"/>
    </row>
    <row r="7">
      <c r="A7" s="2" t="inlineStr">
        <is>
          <t>PS-0005</t>
        </is>
      </c>
      <c r="B7" s="2" t="inlineStr">
        <is>
          <t>PRJ-2026-00125</t>
        </is>
      </c>
      <c r="C7" s="2" t="inlineStr">
        <is>
          <t>Finance</t>
        </is>
      </c>
      <c r="D7" s="2" t="inlineStr">
        <is>
          <t>Pending</t>
        </is>
      </c>
      <c r="E7" s="10" t="n"/>
      <c r="F7" s="10" t="n"/>
      <c r="G7" s="2" t="inlineStr"/>
    </row>
    <row r="8">
      <c r="A8" s="7" t="inlineStr">
        <is>
          <t>PS-0006</t>
        </is>
      </c>
      <c r="B8" s="7" t="inlineStr">
        <is>
          <t>PRJ-2026-00125</t>
        </is>
      </c>
      <c r="C8" s="7" t="inlineStr">
        <is>
          <t>Management</t>
        </is>
      </c>
      <c r="D8" s="7" t="inlineStr">
        <is>
          <t>Pending</t>
        </is>
      </c>
      <c r="E8" s="13" t="n"/>
      <c r="F8" s="13" t="n"/>
      <c r="G8" s="7" t="inlineStr"/>
    </row>
    <row r="9">
      <c r="A9" s="2" t="inlineStr">
        <is>
          <t>PS-0007</t>
        </is>
      </c>
      <c r="B9" s="2" t="inlineStr">
        <is>
          <t>PRJ-2026-00126</t>
        </is>
      </c>
      <c r="C9" s="2" t="inlineStr">
        <is>
          <t>Sales</t>
        </is>
      </c>
      <c r="D9" s="2" t="inlineStr">
        <is>
          <t>In Review</t>
        </is>
      </c>
      <c r="E9" s="10" t="n">
        <v>46286</v>
      </c>
      <c r="F9" s="10" t="n"/>
      <c r="G9" s="2" t="inlineStr"/>
    </row>
    <row r="10">
      <c r="A10" s="7" t="inlineStr">
        <is>
          <t>PS-0008</t>
        </is>
      </c>
      <c r="B10" s="7" t="inlineStr">
        <is>
          <t>PRJ-2026-00126</t>
        </is>
      </c>
      <c r="C10" s="7" t="inlineStr">
        <is>
          <t>Engineering</t>
        </is>
      </c>
      <c r="D10" s="7" t="inlineStr">
        <is>
          <t>Pending</t>
        </is>
      </c>
      <c r="E10" s="13" t="n"/>
      <c r="F10" s="13" t="n"/>
      <c r="G10" s="7" t="inlineStr"/>
    </row>
    <row r="11">
      <c r="A11" s="2" t="inlineStr">
        <is>
          <t>PS-0009</t>
        </is>
      </c>
      <c r="B11" s="2" t="inlineStr">
        <is>
          <t>PRJ-2026-00126</t>
        </is>
      </c>
      <c r="C11" s="2" t="inlineStr">
        <is>
          <t>Planning</t>
        </is>
      </c>
      <c r="D11" s="2" t="inlineStr">
        <is>
          <t>Pending</t>
        </is>
      </c>
      <c r="E11" s="10" t="n"/>
      <c r="F11" s="10" t="n"/>
      <c r="G11" s="2" t="inlineStr"/>
    </row>
    <row r="12">
      <c r="A12" s="7" t="inlineStr">
        <is>
          <t>PS-0010</t>
        </is>
      </c>
      <c r="B12" s="7" t="inlineStr">
        <is>
          <t>PRJ-2026-00126</t>
        </is>
      </c>
      <c r="C12" s="7" t="inlineStr">
        <is>
          <t>Procurement</t>
        </is>
      </c>
      <c r="D12" s="7" t="inlineStr">
        <is>
          <t>Pending</t>
        </is>
      </c>
      <c r="E12" s="13" t="n"/>
      <c r="F12" s="13" t="n"/>
      <c r="G12" s="7" t="inlineStr"/>
    </row>
    <row r="13">
      <c r="A13" s="2" t="inlineStr">
        <is>
          <t>PS-0011</t>
        </is>
      </c>
      <c r="B13" s="2" t="inlineStr">
        <is>
          <t>PRJ-2026-00126</t>
        </is>
      </c>
      <c r="C13" s="2" t="inlineStr">
        <is>
          <t>Finance</t>
        </is>
      </c>
      <c r="D13" s="2" t="inlineStr">
        <is>
          <t>Pending</t>
        </is>
      </c>
      <c r="E13" s="10" t="n"/>
      <c r="F13" s="10" t="n"/>
      <c r="G13" s="2" t="inlineStr"/>
    </row>
    <row r="14">
      <c r="A14" s="7" t="inlineStr">
        <is>
          <t>PS-0012</t>
        </is>
      </c>
      <c r="B14" s="7" t="inlineStr">
        <is>
          <t>PRJ-2026-00126</t>
        </is>
      </c>
      <c r="C14" s="7" t="inlineStr">
        <is>
          <t>Management</t>
        </is>
      </c>
      <c r="D14" s="7" t="inlineStr">
        <is>
          <t>Pending</t>
        </is>
      </c>
      <c r="E14" s="13" t="n"/>
      <c r="F14" s="13" t="n"/>
      <c r="G14" s="7" t="inlineStr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dataValidations count="2">
    <dataValidation sqref="C3:C14" showDropDown="0" showInputMessage="0" showErrorMessage="1" allowBlank="1" errorTitle="Data Validation" error="مقدار خارج از فهرست مجاز است" promptTitle="Stage" prompt="انتخاب از فهرست مجاز برای Stage" type="list">
      <formula1>"Sales,Engineering,Planning,Procurement,Finance,Management"</formula1>
    </dataValidation>
    <dataValidation sqref="D3:D14" showDropDown="0" showInputMessage="0" showErrorMessage="1" allowBlank="1" errorTitle="Data Validation" error="مقدار خارج از فهرست مجاز است" promptTitle="Stage_Status" prompt="انتخاب از فهرست مجاز برای Stage_Status" type="list">
      <formula1>"Completed,In Progress,Pending,Not Started,Blocked"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tabColor rgb="00A6A6A6"/>
    <outlinePr summaryBelow="1" summaryRight="1"/>
    <pageSetUpPr/>
  </sheetPr>
  <dimension ref="A1:O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3" customWidth="1" min="4" max="4"/>
    <col width="16" customWidth="1" min="5" max="5"/>
    <col width="11" customWidth="1" min="6" max="6"/>
    <col width="11" customWidth="1" min="7" max="7"/>
    <col width="21" customWidth="1" min="8" max="8"/>
    <col width="21" customWidth="1" min="9" max="9"/>
    <col width="15" customWidth="1" min="10" max="10"/>
    <col width="11" customWidth="1" min="11" max="11"/>
    <col width="13" customWidth="1" min="12" max="12"/>
    <col width="12" customWidth="1" min="13" max="13"/>
    <col width="14" customWidth="1" min="14" max="14"/>
    <col width="11" customWidth="1" min="15" max="15"/>
  </cols>
  <sheetData>
    <row r="1">
      <c r="A1" s="1" t="inlineStr">
        <is>
          <t>Customers</t>
        </is>
      </c>
    </row>
    <row r="2">
      <c r="A2" s="4" t="inlineStr">
        <is>
          <t>System_ID</t>
        </is>
      </c>
      <c r="B2" s="4" t="inlineStr">
        <is>
          <t>Customer_Code</t>
        </is>
      </c>
      <c r="C2" s="4" t="inlineStr">
        <is>
          <t>Customer_Name</t>
        </is>
      </c>
      <c r="D2" s="4" t="inlineStr">
        <is>
          <t>Legal_Name</t>
        </is>
      </c>
      <c r="E2" s="4" t="inlineStr">
        <is>
          <t>Customer_Type</t>
        </is>
      </c>
      <c r="F2" s="4" t="inlineStr">
        <is>
          <t>Country</t>
        </is>
      </c>
      <c r="G2" s="4" t="inlineStr">
        <is>
          <t>City</t>
        </is>
      </c>
      <c r="H2" s="4" t="inlineStr">
        <is>
          <t>Delivery_Location</t>
        </is>
      </c>
      <c r="I2" s="4" t="inlineStr">
        <is>
          <t>Payment_Condition</t>
        </is>
      </c>
      <c r="J2" s="4" t="inlineStr">
        <is>
          <t>Credit_Limit</t>
        </is>
      </c>
      <c r="K2" s="4" t="inlineStr">
        <is>
          <t>Currency</t>
        </is>
      </c>
      <c r="L2" s="4" t="inlineStr">
        <is>
          <t>Tax_Status</t>
        </is>
      </c>
      <c r="M2" s="4" t="inlineStr">
        <is>
          <t>Is_Active</t>
        </is>
      </c>
      <c r="N2" s="4" t="inlineStr">
        <is>
          <t>Sales_Owner</t>
        </is>
      </c>
      <c r="O2" s="4" t="inlineStr">
        <is>
          <t>Notes</t>
        </is>
      </c>
    </row>
    <row r="3">
      <c r="A3" s="2" t="inlineStr">
        <is>
          <t>CUS-000001</t>
        </is>
      </c>
      <c r="B3" s="2" t="inlineStr">
        <is>
          <t>CUS-1</t>
        </is>
      </c>
      <c r="C3" s="2" t="inlineStr">
        <is>
          <t>صنایع پتروشیمی صبا</t>
        </is>
      </c>
      <c r="D3" s="2" t="inlineStr">
        <is>
          <t>شرکت صنایع پتروشیمی صبا (سهامی خاص)</t>
        </is>
      </c>
      <c r="E3" s="2" t="inlineStr">
        <is>
          <t>Corporate</t>
        </is>
      </c>
      <c r="F3" s="2" t="inlineStr">
        <is>
          <t>Iran</t>
        </is>
      </c>
      <c r="G3" s="2" t="inlineStr">
        <is>
          <t>عسلویه</t>
        </is>
      </c>
      <c r="H3" s="2" t="inlineStr">
        <is>
          <t>سایت عسلویه، فاز ۲</t>
        </is>
      </c>
      <c r="I3" s="2" t="inlineStr">
        <is>
          <t>30% پیش‌پرداخت + 70% اعتبار 60 روزه</t>
        </is>
      </c>
      <c r="J3" s="5" t="n">
        <v>25000000000</v>
      </c>
      <c r="K3" s="2" t="inlineStr">
        <is>
          <t>IRR</t>
        </is>
      </c>
      <c r="L3" s="2" t="inlineStr">
        <is>
          <t>VAT</t>
        </is>
      </c>
      <c r="M3" s="2" t="n">
        <v>1</v>
      </c>
      <c r="N3" s="2" t="inlineStr">
        <is>
          <t>USR-02</t>
        </is>
      </c>
      <c r="O3" s="2" t="inlineStr">
        <is>
          <t>مشتری کلیدی؛ سابقه پرداخت خوب</t>
        </is>
      </c>
    </row>
    <row r="4">
      <c r="A4" s="7" t="inlineStr">
        <is>
          <t>CUS-000002</t>
        </is>
      </c>
      <c r="B4" s="7" t="inlineStr">
        <is>
          <t>CUS-2</t>
        </is>
      </c>
      <c r="C4" s="7" t="inlineStr">
        <is>
          <t>پالایش نفت ستاره</t>
        </is>
      </c>
      <c r="D4" s="7" t="inlineStr">
        <is>
          <t>شرکت پالایش نفت ستاره</t>
        </is>
      </c>
      <c r="E4" s="7" t="inlineStr">
        <is>
          <t>Corporate</t>
        </is>
      </c>
      <c r="F4" s="7" t="inlineStr">
        <is>
          <t>Iran</t>
        </is>
      </c>
      <c r="G4" s="7" t="inlineStr">
        <is>
          <t>بندرعباس</t>
        </is>
      </c>
      <c r="H4" s="7" t="inlineStr">
        <is>
          <t>انبار مرکزی بندرعباس</t>
        </is>
      </c>
      <c r="I4" s="7" t="inlineStr">
        <is>
          <t>LC دیداری</t>
        </is>
      </c>
      <c r="J4" s="8" t="n">
        <v>20000000000</v>
      </c>
      <c r="K4" s="7" t="inlineStr">
        <is>
          <t>IRR</t>
        </is>
      </c>
      <c r="L4" s="7" t="inlineStr">
        <is>
          <t>VAT</t>
        </is>
      </c>
      <c r="M4" s="7" t="n">
        <v>1</v>
      </c>
      <c r="N4" s="7" t="inlineStr">
        <is>
          <t>USR-02</t>
        </is>
      </c>
      <c r="O4" s="7" t="inlineStr">
        <is>
          <t>سفارش‌های فصلی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2_1" sqref="B3:O20" password="AC25"/>
  </protectedRanges>
  <dataValidations count="3">
    <dataValidation sqref="E3:E4" showDropDown="0" showInputMessage="0" showErrorMessage="1" allowBlank="1" errorTitle="Data Validation" error="مقدار خارج از فهرست مجاز است" promptTitle="Customer_Type" prompt="انتخاب از فهرست مجاز برای Customer_Type" type="list">
      <formula1>"Corporate,Government,Distributor,Retail"</formula1>
    </dataValidation>
    <dataValidation sqref="K3:K4" showDropDown="0" showInputMessage="0" showErrorMessage="1" allowBlank="1" errorTitle="Data Validation" error="مقدار خارج از فهرست مجاز است" promptTitle="Currency" prompt="انتخاب از فهرست مجاز برای Currency" type="list">
      <formula1>"IRR,USD,EUR"</formula1>
    </dataValidation>
    <dataValidation sqref="L3:L4" showDropDown="0" showInputMessage="0" showErrorMessage="1" allowBlank="1" errorTitle="Data Validation" error="مقدار خارج از فهرست مجاز است" promptTitle="Tax_Status" prompt="انتخاب از فهرست مجاز برای Tax_Status" type="list">
      <formula1>"VAT,Exempt,N/A"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tabColor rgb="00A6A6A6"/>
    <outlinePr summaryBelow="1" summaryRight="1"/>
    <pageSetUpPr/>
  </sheetPr>
  <dimension ref="A1:G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1" customWidth="1" min="5" max="5"/>
    <col width="11" customWidth="1" min="6" max="6"/>
    <col width="12" customWidth="1" min="7" max="7"/>
  </cols>
  <sheetData>
    <row r="1">
      <c r="A1" s="1" t="inlineStr">
        <is>
          <t>Products</t>
        </is>
      </c>
    </row>
    <row r="2">
      <c r="A2" s="4" t="inlineStr">
        <is>
          <t>System_ID</t>
        </is>
      </c>
      <c r="B2" s="4" t="inlineStr">
        <is>
          <t>Product_Code</t>
        </is>
      </c>
      <c r="C2" s="4" t="inlineStr">
        <is>
          <t>Product_Name</t>
        </is>
      </c>
      <c r="D2" s="4" t="inlineStr">
        <is>
          <t>Product_Type</t>
        </is>
      </c>
      <c r="E2" s="4" t="inlineStr">
        <is>
          <t>Base_UoM</t>
        </is>
      </c>
      <c r="F2" s="4" t="inlineStr">
        <is>
          <t>Category</t>
        </is>
      </c>
      <c r="G2" s="4" t="inlineStr">
        <is>
          <t>Is_Active</t>
        </is>
      </c>
    </row>
    <row r="3">
      <c r="A3" s="2" t="inlineStr">
        <is>
          <t>PRD-000125</t>
        </is>
      </c>
      <c r="B3" s="2" t="inlineStr">
        <is>
          <t>PMP-250</t>
        </is>
      </c>
      <c r="C3" s="2" t="inlineStr">
        <is>
          <t>پمپ گریز از مرکز سرویس سنگین PMP-250</t>
        </is>
      </c>
      <c r="D3" s="2" t="inlineStr">
        <is>
          <t>Finished Good</t>
        </is>
      </c>
      <c r="E3" s="2" t="inlineStr">
        <is>
          <t>pcs</t>
        </is>
      </c>
      <c r="F3" s="2" t="inlineStr">
        <is>
          <t>Pumps</t>
        </is>
      </c>
      <c r="G3" s="2" t="n">
        <v>1</v>
      </c>
    </row>
    <row r="4">
      <c r="A4" s="7" t="inlineStr">
        <is>
          <t>PRD-000126</t>
        </is>
      </c>
      <c r="B4" s="7" t="inlineStr">
        <is>
          <t>PMP-150</t>
        </is>
      </c>
      <c r="C4" s="7" t="inlineStr">
        <is>
          <t>پمپ گریز از مرکز PMP-150</t>
        </is>
      </c>
      <c r="D4" s="7" t="inlineStr">
        <is>
          <t>Finished Good</t>
        </is>
      </c>
      <c r="E4" s="7" t="inlineStr">
        <is>
          <t>pcs</t>
        </is>
      </c>
      <c r="F4" s="7" t="inlineStr">
        <is>
          <t>Pumps</t>
        </is>
      </c>
      <c r="G4" s="7" t="n">
        <v>1</v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4_1" sqref="B3:G20" password="E2F4"/>
  </protectedRanges>
  <dataValidations count="1">
    <dataValidation sqref="E3:E4" showDropDown="0" showInputMessage="0" showErrorMessage="1" allowBlank="1" errorTitle="Data Validation" error="مقدار خارج از فهرست مجاز است" promptTitle="Base_UoM" prompt="انتخاب از فهرست مجاز برای Base_UoM" type="list">
      <formula1>"pcs,kg,m,m2,liter,set,ton"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tabColor rgb="00A6A6A6"/>
    <outlinePr summaryBelow="1" summaryRight="1"/>
    <pageSetUpPr/>
  </sheetPr>
  <dimension ref="A1:I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3" customWidth="1" min="4" max="4"/>
    <col width="20" customWidth="1" min="5" max="5"/>
    <col width="13" customWidth="1" min="6" max="6"/>
    <col width="14" customWidth="1" min="7" max="7"/>
    <col width="15" customWidth="1" min="8" max="8"/>
    <col width="16" customWidth="1" min="9" max="9"/>
  </cols>
  <sheetData>
    <row r="1">
      <c r="A1" s="1" t="inlineStr">
        <is>
          <t>Product_Revisions</t>
        </is>
      </c>
    </row>
    <row r="2">
      <c r="A2" s="4" t="inlineStr">
        <is>
          <t>System_ID</t>
        </is>
      </c>
      <c r="B2" s="4" t="inlineStr">
        <is>
          <t>Product_ID</t>
        </is>
      </c>
      <c r="C2" s="4" t="inlineStr">
        <is>
          <t>Revision_No</t>
        </is>
      </c>
      <c r="D2" s="4" t="inlineStr">
        <is>
          <t>Drawing_No</t>
        </is>
      </c>
      <c r="E2" s="4" t="inlineStr">
        <is>
          <t>Drawing_Revision</t>
        </is>
      </c>
      <c r="F2" s="4" t="inlineStr">
        <is>
          <t>BOM_Policy</t>
        </is>
      </c>
      <c r="G2" s="4" t="inlineStr">
        <is>
          <t>Approved_By</t>
        </is>
      </c>
      <c r="H2" s="4" t="inlineStr">
        <is>
          <t>Approve_Date</t>
        </is>
      </c>
      <c r="I2" s="4" t="inlineStr">
        <is>
          <t>Change_Reason</t>
        </is>
      </c>
    </row>
    <row r="3">
      <c r="A3" s="2" t="inlineStr">
        <is>
          <t>PRV-000125-R03</t>
        </is>
      </c>
      <c r="B3" s="2" t="inlineStr">
        <is>
          <t>PRD-000125</t>
        </is>
      </c>
      <c r="C3" s="2" t="inlineStr">
        <is>
          <t>R03</t>
        </is>
      </c>
      <c r="D3" s="2" t="inlineStr">
        <is>
          <t>DRW-250-A</t>
        </is>
      </c>
      <c r="E3" s="2" t="inlineStr">
        <is>
          <t>Rev C</t>
        </is>
      </c>
      <c r="F3" s="2" t="inlineStr">
        <is>
          <t>Each Rev = New BOM Revision</t>
        </is>
      </c>
      <c r="G3" s="2" t="inlineStr">
        <is>
          <t>USR-04</t>
        </is>
      </c>
      <c r="H3" s="10" t="n">
        <v>46275</v>
      </c>
      <c r="I3" s="2" t="inlineStr">
        <is>
          <t>به‌روزرسانی متریال پروانه طبق استاندارد جدید</t>
        </is>
      </c>
    </row>
    <row r="4">
      <c r="A4" s="7" t="inlineStr">
        <is>
          <t>PRV-000126-R02</t>
        </is>
      </c>
      <c r="B4" s="7" t="inlineStr">
        <is>
          <t>PRD-000126</t>
        </is>
      </c>
      <c r="C4" s="7" t="inlineStr">
        <is>
          <t>R02</t>
        </is>
      </c>
      <c r="D4" s="7" t="inlineStr">
        <is>
          <t>DRW-150-B</t>
        </is>
      </c>
      <c r="E4" s="7" t="inlineStr">
        <is>
          <t>Rev B</t>
        </is>
      </c>
      <c r="F4" s="7" t="inlineStr">
        <is>
          <t>Each Rev = New BOM Revision</t>
        </is>
      </c>
      <c r="G4" s="7" t="inlineStr">
        <is>
          <t>USR-04</t>
        </is>
      </c>
      <c r="H4" s="13" t="n">
        <v>46174</v>
      </c>
      <c r="I4" s="7" t="inlineStr">
        <is>
          <t>اصلاح تلورانس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4_1" sqref="B3:I20" password="E2F4"/>
  </protectedRange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tabColor rgb="00A6A6A6"/>
    <outlinePr summaryBelow="1" summaryRight="1"/>
    <pageSetUpPr/>
  </sheetPr>
  <dimension ref="A1:L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3" customWidth="1" min="4" max="4"/>
    <col width="11" customWidth="1" min="5" max="5"/>
    <col width="11" customWidth="1" min="6" max="6"/>
    <col width="26" customWidth="1" min="7" max="7"/>
    <col width="20" customWidth="1" min="8" max="8"/>
    <col width="11" customWidth="1" min="9" max="9"/>
    <col width="19" customWidth="1" min="10" max="10"/>
    <col width="11" customWidth="1" min="11" max="11"/>
    <col width="12" customWidth="1" min="12" max="12"/>
  </cols>
  <sheetData>
    <row r="1">
      <c r="A1" s="1" t="inlineStr">
        <is>
          <t>Suppliers</t>
        </is>
      </c>
    </row>
    <row r="2">
      <c r="A2" s="4" t="inlineStr">
        <is>
          <t>System_ID</t>
        </is>
      </c>
      <c r="B2" s="4" t="inlineStr">
        <is>
          <t>Supplier_Code</t>
        </is>
      </c>
      <c r="C2" s="4" t="inlineStr">
        <is>
          <t>Supplier_Name</t>
        </is>
      </c>
      <c r="D2" s="4" t="inlineStr">
        <is>
          <t>Legal_Name</t>
        </is>
      </c>
      <c r="E2" s="4" t="inlineStr">
        <is>
          <t>Country</t>
        </is>
      </c>
      <c r="F2" s="4" t="inlineStr">
        <is>
          <t>Currency</t>
        </is>
      </c>
      <c r="G2" s="4" t="inlineStr">
        <is>
          <t>Payment_Terms_Default</t>
        </is>
      </c>
      <c r="H2" s="4" t="inlineStr">
        <is>
          <t>Incoterm_Default</t>
        </is>
      </c>
      <c r="I2" s="4" t="inlineStr">
        <is>
          <t>Rating</t>
        </is>
      </c>
      <c r="J2" s="4" t="inlineStr">
        <is>
          <t>Approval_Status</t>
        </is>
      </c>
      <c r="K2" s="4" t="inlineStr">
        <is>
          <t>Contact</t>
        </is>
      </c>
      <c r="L2" s="4" t="inlineStr">
        <is>
          <t>Is_Active</t>
        </is>
      </c>
    </row>
    <row r="3">
      <c r="A3" s="2" t="inlineStr">
        <is>
          <t>SUP-000086</t>
        </is>
      </c>
      <c r="B3" s="2" t="inlineStr">
        <is>
          <t>SUP-86</t>
        </is>
      </c>
      <c r="C3" s="2" t="inlineStr">
        <is>
          <t>بسته‌بندی پارس</t>
        </is>
      </c>
      <c r="D3" s="2" t="inlineStr">
        <is>
          <t>بسته‌بندی پارس (چوب)</t>
        </is>
      </c>
      <c r="E3" s="2" t="inlineStr">
        <is>
          <t>Iran</t>
        </is>
      </c>
      <c r="F3" s="2" t="inlineStr">
        <is>
          <t>IRR</t>
        </is>
      </c>
      <c r="G3" s="10" t="inlineStr">
        <is>
          <t>30 روزه</t>
        </is>
      </c>
      <c r="H3" s="10" t="inlineStr">
        <is>
          <t>EXW</t>
        </is>
      </c>
      <c r="I3" s="2" t="n">
        <v>4</v>
      </c>
      <c r="J3" s="12" t="inlineStr">
        <is>
          <t>Approved</t>
        </is>
      </c>
      <c r="K3" s="2" t="inlineStr">
        <is>
          <t>تلفن 021-1111</t>
        </is>
      </c>
      <c r="L3" s="2" t="n">
        <v>1</v>
      </c>
    </row>
    <row r="4">
      <c r="A4" s="7" t="inlineStr">
        <is>
          <t>SUP-000087</t>
        </is>
      </c>
      <c r="B4" s="7" t="inlineStr">
        <is>
          <t>SUP-87</t>
        </is>
      </c>
      <c r="C4" s="7" t="inlineStr">
        <is>
          <t>الکتروموتور توان</t>
        </is>
      </c>
      <c r="D4" s="7" t="inlineStr">
        <is>
          <t>موتور توان (نماینده زیمنس)</t>
        </is>
      </c>
      <c r="E4" s="7" t="inlineStr">
        <is>
          <t>Iran</t>
        </is>
      </c>
      <c r="F4" s="7" t="inlineStr">
        <is>
          <t>IRR</t>
        </is>
      </c>
      <c r="G4" s="13" t="inlineStr">
        <is>
          <t>45 روزه</t>
        </is>
      </c>
      <c r="H4" s="13" t="inlineStr">
        <is>
          <t>CPT</t>
        </is>
      </c>
      <c r="I4" s="7" t="n">
        <v>4</v>
      </c>
      <c r="J4" s="15" t="inlineStr">
        <is>
          <t>Approved</t>
        </is>
      </c>
      <c r="K4" s="7" t="inlineStr">
        <is>
          <t>تلفن 021-2222</t>
        </is>
      </c>
      <c r="L4" s="7" t="n">
        <v>1</v>
      </c>
    </row>
    <row r="5">
      <c r="A5" s="2" t="inlineStr">
        <is>
          <t>SUP-000088</t>
        </is>
      </c>
      <c r="B5" s="2" t="inlineStr">
        <is>
          <t>SUP-88</t>
        </is>
      </c>
      <c r="C5" s="2" t="inlineStr">
        <is>
          <t>سیل آریا</t>
        </is>
      </c>
      <c r="D5" s="2" t="inlineStr">
        <is>
          <t>سیل‌های مکانیکی آریا</t>
        </is>
      </c>
      <c r="E5" s="2" t="inlineStr">
        <is>
          <t>Iran</t>
        </is>
      </c>
      <c r="F5" s="2" t="inlineStr">
        <is>
          <t>IRR</t>
        </is>
      </c>
      <c r="G5" s="10" t="inlineStr">
        <is>
          <t>30 روزه</t>
        </is>
      </c>
      <c r="H5" s="10" t="inlineStr">
        <is>
          <t>CPT</t>
        </is>
      </c>
      <c r="I5" s="2" t="n">
        <v>5</v>
      </c>
      <c r="J5" s="12" t="inlineStr">
        <is>
          <t>Approved</t>
        </is>
      </c>
      <c r="K5" s="2" t="inlineStr">
        <is>
          <t>تلفن 021-3333</t>
        </is>
      </c>
      <c r="L5" s="2" t="n">
        <v>1</v>
      </c>
    </row>
    <row r="6">
      <c r="A6" s="7" t="inlineStr">
        <is>
          <t>SUP-000089</t>
        </is>
      </c>
      <c r="B6" s="7" t="inlineStr">
        <is>
          <t>SUP-89</t>
        </is>
      </c>
      <c r="C6" s="7" t="inlineStr">
        <is>
          <t>بلبرینگ ایران</t>
        </is>
      </c>
      <c r="D6" s="7" t="inlineStr">
        <is>
          <t>بلبرینگ‌های صنعتی ایران</t>
        </is>
      </c>
      <c r="E6" s="7" t="inlineStr">
        <is>
          <t>Iran</t>
        </is>
      </c>
      <c r="F6" s="7" t="inlineStr">
        <is>
          <t>IRR</t>
        </is>
      </c>
      <c r="G6" s="13" t="inlineStr">
        <is>
          <t>30 روزه</t>
        </is>
      </c>
      <c r="H6" s="13" t="inlineStr">
        <is>
          <t>CPT</t>
        </is>
      </c>
      <c r="I6" s="7" t="n">
        <v>4</v>
      </c>
      <c r="J6" s="15" t="inlineStr">
        <is>
          <t>Approved</t>
        </is>
      </c>
      <c r="K6" s="7" t="inlineStr">
        <is>
          <t>تلفن 021-4444</t>
        </is>
      </c>
      <c r="L6" s="7" t="n">
        <v>1</v>
      </c>
    </row>
    <row r="7">
      <c r="A7" s="2" t="inlineStr">
        <is>
          <t>SUP-000090</t>
        </is>
      </c>
      <c r="B7" s="2" t="inlineStr">
        <is>
          <t>SUP-90</t>
        </is>
      </c>
      <c r="C7" s="2" t="inlineStr">
        <is>
          <t>فولاد جنوب</t>
        </is>
      </c>
      <c r="D7" s="2" t="inlineStr">
        <is>
          <t>فولاد جنوب (ریخته‌گری)</t>
        </is>
      </c>
      <c r="E7" s="2" t="inlineStr">
        <is>
          <t>Iran</t>
        </is>
      </c>
      <c r="F7" s="2" t="inlineStr">
        <is>
          <t>IRR</t>
        </is>
      </c>
      <c r="G7" s="10" t="inlineStr">
        <is>
          <t>45 روزه</t>
        </is>
      </c>
      <c r="H7" s="10" t="inlineStr">
        <is>
          <t>EXW</t>
        </is>
      </c>
      <c r="I7" s="2" t="n">
        <v>3</v>
      </c>
      <c r="J7" s="12" t="inlineStr">
        <is>
          <t>Approved</t>
        </is>
      </c>
      <c r="K7" s="2" t="inlineStr">
        <is>
          <t>تلفن 071-5555</t>
        </is>
      </c>
      <c r="L7" s="2" t="n">
        <v>1</v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6_1" sqref="B3:L20" password="C926"/>
  </protectedRanges>
  <dataValidations count="2">
    <dataValidation sqref="F3:F7" showDropDown="0" showInputMessage="0" showErrorMessage="1" allowBlank="1" errorTitle="Data Validation" error="مقدار خارج از فهرست مجاز است" promptTitle="Currency" prompt="انتخاب از فهرست مجاز برای Currency" type="list">
      <formula1>"IRR,USD,EUR"</formula1>
    </dataValidation>
    <dataValidation sqref="H3:H7" showDropDown="0" showInputMessage="0" showErrorMessage="1" allowBlank="1" errorTitle="Data Validation" error="مقدار خارج از فهرست مجاز است" promptTitle="Incoterm_Default" prompt="انتخاب از فهرست مجاز برای Incoterm_Default" type="list">
      <formula1>"EXW,FCA,CPT,CIP,DAP,DDP"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tabColor rgb="00A6A6A6"/>
    <outlinePr summaryBelow="1" summaryRight="1"/>
    <pageSetUpPr/>
  </sheetPr>
  <dimension ref="A1:E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3" customWidth="1" min="4" max="4"/>
    <col width="14" customWidth="1" min="5" max="5"/>
  </cols>
  <sheetData>
    <row r="1">
      <c r="A1" s="1" t="inlineStr">
        <is>
          <t>Settings</t>
        </is>
      </c>
      <c r="B1" s="3" t="inlineStr">
        <is>
          <t>همه نرخ‌ها/ضرایب سازمانی اینجا ویرایش می‌شوند؛ پیش‌فرض‌ها ASSUMPTION هستند (هیچ عددی داخل فرمول‌ها Hard-code نشده).</t>
        </is>
      </c>
    </row>
    <row r="2">
      <c r="A2" s="4" t="inlineStr">
        <is>
          <t>Key</t>
        </is>
      </c>
      <c r="B2" s="4" t="inlineStr">
        <is>
          <t>Value</t>
        </is>
      </c>
      <c r="C2" s="4" t="inlineStr">
        <is>
          <t>Data_Type</t>
        </is>
      </c>
      <c r="D2" s="4" t="inlineStr">
        <is>
          <t>ASSUMPTION</t>
        </is>
      </c>
      <c r="E2" s="4" t="inlineStr">
        <is>
          <t>Description</t>
        </is>
      </c>
    </row>
    <row r="3">
      <c r="A3" s="2" t="inlineStr">
        <is>
          <t>Labor_Rate_Per_Hour</t>
        </is>
      </c>
      <c r="B3" s="5" t="n">
        <v>2500000</v>
      </c>
      <c r="C3" s="2" t="inlineStr">
        <is>
          <t>Number</t>
        </is>
      </c>
      <c r="D3" s="2" t="inlineStr">
        <is>
          <t>YES</t>
        </is>
      </c>
      <c r="E3" s="2" t="inlineStr">
        <is>
          <t>ASSUMPTION: نرخ دستمزد ساعتی (IRR)</t>
        </is>
      </c>
    </row>
    <row r="4">
      <c r="A4" s="7" t="inlineStr">
        <is>
          <t>Manufacturing_Overhead_Rate</t>
        </is>
      </c>
      <c r="B4" s="8" t="n">
        <v>2</v>
      </c>
      <c r="C4" s="7" t="inlineStr">
        <is>
          <t>Number</t>
        </is>
      </c>
      <c r="D4" s="7" t="inlineStr">
        <is>
          <t>YES</t>
        </is>
      </c>
      <c r="E4" s="7" t="inlineStr">
        <is>
          <t>ASSUMPTION: نرخ سربار تولید (× دستمزد مستقیم)</t>
        </is>
      </c>
    </row>
    <row r="5">
      <c r="A5" s="2" t="inlineStr">
        <is>
          <t>Scrap_Factor</t>
        </is>
      </c>
      <c r="B5" s="5" t="n">
        <v>0.02</v>
      </c>
      <c r="C5" s="2" t="inlineStr">
        <is>
          <t>Number</t>
        </is>
      </c>
      <c r="D5" s="2" t="inlineStr">
        <is>
          <t>YES</t>
        </is>
      </c>
      <c r="E5" s="2" t="inlineStr">
        <is>
          <t>ASSUMPTION: درصد ضایعات فرآیند</t>
        </is>
      </c>
    </row>
    <row r="6">
      <c r="A6" s="7" t="inlineStr">
        <is>
          <t>Financial_Cost_Rate_Annual</t>
        </is>
      </c>
      <c r="B6" s="8" t="n">
        <v>0.18</v>
      </c>
      <c r="C6" s="7" t="inlineStr">
        <is>
          <t>Number</t>
        </is>
      </c>
      <c r="D6" s="7" t="inlineStr">
        <is>
          <t>YES</t>
        </is>
      </c>
      <c r="E6" s="7" t="inlineStr">
        <is>
          <t>ASSUMPTION: نرخ هزینه مالی سالانه اعتبار</t>
        </is>
      </c>
    </row>
    <row r="7">
      <c r="A7" s="2" t="inlineStr">
        <is>
          <t>SG&amp;A_Rate</t>
        </is>
      </c>
      <c r="B7" s="5" t="n">
        <v>0.05</v>
      </c>
      <c r="C7" s="2" t="inlineStr">
        <is>
          <t>Number</t>
        </is>
      </c>
      <c r="D7" s="2" t="inlineStr">
        <is>
          <t>YES</t>
        </is>
      </c>
      <c r="E7" s="2" t="inlineStr">
        <is>
          <t>ASSUMPTION: نرخ اداری/فروش (در صورت اعمال سیاست)</t>
        </is>
      </c>
    </row>
    <row r="8">
      <c r="A8" s="7" t="inlineStr">
        <is>
          <t>Apply_SGA</t>
        </is>
      </c>
      <c r="B8" s="8" t="n">
        <v>1</v>
      </c>
      <c r="C8" s="7" t="inlineStr">
        <is>
          <t>Number</t>
        </is>
      </c>
      <c r="D8" s="7" t="inlineStr">
        <is>
          <t>YES</t>
        </is>
      </c>
      <c r="E8" s="7" t="inlineStr">
        <is>
          <t>1=اعمال SG&amp;A در Costing (سیاست سازمان)</t>
        </is>
      </c>
    </row>
    <row r="9">
      <c r="A9" s="2" t="inlineStr">
        <is>
          <t>Tooling_Cost_Per_Project</t>
        </is>
      </c>
      <c r="B9" s="5" t="n">
        <v>100000000</v>
      </c>
      <c r="C9" s="2" t="inlineStr">
        <is>
          <t>Number</t>
        </is>
      </c>
      <c r="D9" s="2" t="inlineStr">
        <is>
          <t>YES</t>
        </is>
      </c>
      <c r="E9" s="2" t="inlineStr">
        <is>
          <t>ASSUMPTION: هزینه قالب پروژه (تسهیم خطی)</t>
        </is>
      </c>
    </row>
    <row r="10">
      <c r="A10" s="7" t="inlineStr">
        <is>
          <t>Logistics_Base_Cost</t>
        </is>
      </c>
      <c r="B10" s="8" t="n">
        <v>150000000</v>
      </c>
      <c r="C10" s="7" t="inlineStr">
        <is>
          <t>Number</t>
        </is>
      </c>
      <c r="D10" s="7" t="inlineStr">
        <is>
          <t>YES</t>
        </is>
      </c>
      <c r="E10" s="7" t="inlineStr">
        <is>
          <t>ASSUMPTION: هزینه لجستیک پایه پروژه</t>
        </is>
      </c>
    </row>
    <row r="11">
      <c r="A11" s="2" t="inlineStr">
        <is>
          <t>Packaging_Unit_Cost</t>
        </is>
      </c>
      <c r="B11" s="5" t="n">
        <v>12000000</v>
      </c>
      <c r="C11" s="2" t="inlineStr">
        <is>
          <t>Number</t>
        </is>
      </c>
      <c r="D11" s="2" t="inlineStr">
        <is>
          <t>NO</t>
        </is>
      </c>
      <c r="E11" s="2" t="inlineStr">
        <is>
          <t>از قیمت تأمین‌کننده (MAT-001548)</t>
        </is>
      </c>
    </row>
    <row r="12">
      <c r="A12" s="7" t="inlineStr">
        <is>
          <t>Reporting_Currency</t>
        </is>
      </c>
      <c r="B12" s="8" t="inlineStr">
        <is>
          <t>IRR</t>
        </is>
      </c>
      <c r="C12" s="7" t="inlineStr">
        <is>
          <t>Text</t>
        </is>
      </c>
      <c r="D12" s="7" t="inlineStr">
        <is>
          <t>NO</t>
        </is>
      </c>
      <c r="E12" s="7" t="inlineStr">
        <is>
          <t>ارز گزارشگری</t>
        </is>
      </c>
    </row>
    <row r="13">
      <c r="A13" s="2" t="inlineStr">
        <is>
          <t>Fx_USD_TO_IRR</t>
        </is>
      </c>
      <c r="B13" s="5" t="n">
        <v>500000</v>
      </c>
      <c r="C13" s="2" t="inlineStr">
        <is>
          <t>Number</t>
        </is>
      </c>
      <c r="D13" s="2" t="inlineStr">
        <is>
          <t>YES</t>
        </is>
      </c>
      <c r="E13" s="2" t="inlineStr">
        <is>
          <t>ASSUMPTION: نرخ تبدیل USD→IRR</t>
        </is>
      </c>
    </row>
    <row r="14">
      <c r="A14" s="7" t="inlineStr">
        <is>
          <t>Stale_Price_Days</t>
        </is>
      </c>
      <c r="B14" s="8" t="n">
        <v>90</v>
      </c>
      <c r="C14" s="7" t="inlineStr">
        <is>
          <t>Number</t>
        </is>
      </c>
      <c r="D14" s="7" t="inlineStr">
        <is>
          <t>NO</t>
        </is>
      </c>
      <c r="E14" s="7" t="inlineStr">
        <is>
          <t>آستانه قیمت قدیمی (روز)</t>
        </is>
      </c>
    </row>
    <row r="15">
      <c r="A15" s="2" t="inlineStr">
        <is>
          <t>Max_Margin_Percent</t>
        </is>
      </c>
      <c r="B15" s="5" t="n">
        <v>0.35</v>
      </c>
      <c r="C15" s="2" t="inlineStr">
        <is>
          <t>Number</t>
        </is>
      </c>
      <c r="D15" s="2" t="inlineStr">
        <is>
          <t>NO</t>
        </is>
      </c>
      <c r="E15" s="2" t="inlineStr">
        <is>
          <t>سقف منطقی مارجین برای E-008</t>
        </is>
      </c>
    </row>
    <row r="16">
      <c r="A16" s="7" t="inlineStr">
        <is>
          <t>Default_Validity_Days</t>
        </is>
      </c>
      <c r="B16" s="8" t="n">
        <v>30</v>
      </c>
      <c r="C16" s="7" t="inlineStr">
        <is>
          <t>Number</t>
        </is>
      </c>
      <c r="D16" s="7" t="inlineStr">
        <is>
          <t>NO</t>
        </is>
      </c>
      <c r="E16" s="7" t="inlineStr">
        <is>
          <t>اعتبار پیش‌فرض پیشنهاد</t>
        </is>
      </c>
    </row>
    <row r="17">
      <c r="A17" s="2" t="inlineStr">
        <is>
          <t>Feasibility_Weight_Market</t>
        </is>
      </c>
      <c r="B17" s="5" t="n">
        <v>0.25</v>
      </c>
      <c r="C17" s="2" t="inlineStr">
        <is>
          <t>Number</t>
        </is>
      </c>
      <c r="D17" s="2" t="inlineStr">
        <is>
          <t>YES</t>
        </is>
      </c>
      <c r="E17" s="2" t="inlineStr">
        <is>
          <t>ASSUMPTION: وزن امتیاز بازار در امکان‌سنجی</t>
        </is>
      </c>
    </row>
    <row r="18">
      <c r="A18" s="7" t="inlineStr">
        <is>
          <t>Feasibility_Weight_Technical</t>
        </is>
      </c>
      <c r="B18" s="8" t="n">
        <v>0.3</v>
      </c>
      <c r="C18" s="7" t="inlineStr">
        <is>
          <t>Number</t>
        </is>
      </c>
      <c r="D18" s="7" t="inlineStr">
        <is>
          <t>YES</t>
        </is>
      </c>
      <c r="E18" s="7" t="inlineStr">
        <is>
          <t>ASSUMPTION: وزن امتیاز فنی در امکان‌سنجی</t>
        </is>
      </c>
    </row>
    <row r="19">
      <c r="A19" s="2" t="inlineStr">
        <is>
          <t>Feasibility_Weight_Economic</t>
        </is>
      </c>
      <c r="B19" s="5" t="n">
        <v>0.3</v>
      </c>
      <c r="C19" s="2" t="inlineStr">
        <is>
          <t>Number</t>
        </is>
      </c>
      <c r="D19" s="2" t="inlineStr">
        <is>
          <t>YES</t>
        </is>
      </c>
      <c r="E19" s="2" t="inlineStr">
        <is>
          <t>ASSUMPTION: وزن امتیاز اقتصادی در امکان‌سنجی</t>
        </is>
      </c>
    </row>
    <row r="20">
      <c r="A20" s="7" t="inlineStr">
        <is>
          <t>Feasibility_Weight_Schedule</t>
        </is>
      </c>
      <c r="B20" s="8" t="n">
        <v>0.15</v>
      </c>
      <c r="C20" s="7" t="inlineStr">
        <is>
          <t>Number</t>
        </is>
      </c>
      <c r="D20" s="7" t="inlineStr">
        <is>
          <t>YES</t>
        </is>
      </c>
      <c r="E20" s="7" t="inlineStr">
        <is>
          <t>ASSUMPTION: وزن امتیاز زمان‌بندی در امکان‌سنجی</t>
        </is>
      </c>
    </row>
    <row r="21">
      <c r="A21" s="2" t="inlineStr">
        <is>
          <t>Feasibility_Min_Score</t>
        </is>
      </c>
      <c r="B21" s="5" t="n">
        <v>70</v>
      </c>
      <c r="C21" s="2" t="inlineStr">
        <is>
          <t>Number</t>
        </is>
      </c>
      <c r="D21" s="2" t="inlineStr">
        <is>
          <t>YES</t>
        </is>
      </c>
      <c r="E21" s="2" t="inlineStr">
        <is>
          <t>ASSUMPTION: حداقل امتیاز وزنی برای نتیجه «امکان‌پذیر»</t>
        </is>
      </c>
    </row>
    <row r="22">
      <c r="A22" s="7" t="inlineStr">
        <is>
          <t>Gate_Enforcement</t>
        </is>
      </c>
      <c r="B22" s="8" t="n">
        <v>1</v>
      </c>
      <c r="C22" s="7" t="inlineStr">
        <is>
          <t>Number</t>
        </is>
      </c>
      <c r="D22" s="7" t="inlineStr">
        <is>
          <t>NO</t>
        </is>
      </c>
      <c r="E22" s="7" t="inlineStr">
        <is>
          <t>سیاست گیتینگ: 1=اجرای سخت (تا پیش‌نیاز تکمیل نشود، ورود داده در مرحله بعد مسدود است)</t>
        </is>
      </c>
    </row>
    <row r="23">
      <c r="A23" s="2" t="inlineStr">
        <is>
          <t>Seq_Customer</t>
        </is>
      </c>
      <c r="B23" s="5" t="n">
        <v>3</v>
      </c>
      <c r="C23" s="2" t="inlineStr">
        <is>
          <t>Number</t>
        </is>
      </c>
      <c r="D23" s="2" t="inlineStr">
        <is>
          <t>NO</t>
        </is>
      </c>
      <c r="E23" s="2" t="inlineStr">
        <is>
          <t>شمارنده مشتری</t>
        </is>
      </c>
    </row>
    <row r="24">
      <c r="A24" s="7" t="inlineStr">
        <is>
          <t>Seq_Project</t>
        </is>
      </c>
      <c r="B24" s="8" t="n">
        <v>127</v>
      </c>
      <c r="C24" s="7" t="inlineStr">
        <is>
          <t>Number</t>
        </is>
      </c>
      <c r="D24" s="7" t="inlineStr">
        <is>
          <t>NO</t>
        </is>
      </c>
      <c r="E24" s="7" t="inlineStr">
        <is>
          <t>شمارنده پروژه</t>
        </is>
      </c>
    </row>
    <row r="25">
      <c r="A25" s="2" t="inlineStr">
        <is>
          <t>Seq_Order</t>
        </is>
      </c>
      <c r="B25" s="5" t="n">
        <v>323</v>
      </c>
      <c r="C25" s="2" t="inlineStr">
        <is>
          <t>Number</t>
        </is>
      </c>
      <c r="D25" s="2" t="inlineStr">
        <is>
          <t>NO</t>
        </is>
      </c>
      <c r="E25" s="2" t="inlineStr">
        <is>
          <t>شمارنده سفارش</t>
        </is>
      </c>
    </row>
    <row r="26">
      <c r="A26" s="7" t="inlineStr">
        <is>
          <t>Seq_Product</t>
        </is>
      </c>
      <c r="B26" s="8" t="n">
        <v>127</v>
      </c>
      <c r="C26" s="7" t="inlineStr">
        <is>
          <t>Number</t>
        </is>
      </c>
      <c r="D26" s="7" t="inlineStr">
        <is>
          <t>NO</t>
        </is>
      </c>
      <c r="E26" s="7" t="inlineStr">
        <is>
          <t>شمارنده محصول</t>
        </is>
      </c>
    </row>
    <row r="27">
      <c r="A27" s="2" t="inlineStr">
        <is>
          <t>Seq_Material</t>
        </is>
      </c>
      <c r="B27" s="5" t="n">
        <v>1549</v>
      </c>
      <c r="C27" s="2" t="inlineStr">
        <is>
          <t>Number</t>
        </is>
      </c>
      <c r="D27" s="2" t="inlineStr">
        <is>
          <t>NO</t>
        </is>
      </c>
      <c r="E27" s="2" t="inlineStr">
        <is>
          <t>شمارنده ماده</t>
        </is>
      </c>
    </row>
    <row r="28">
      <c r="A28" s="7" t="inlineStr">
        <is>
          <t>Seq_Supplier</t>
        </is>
      </c>
      <c r="B28" s="8" t="n">
        <v>91</v>
      </c>
      <c r="C28" s="7" t="inlineStr">
        <is>
          <t>Number</t>
        </is>
      </c>
      <c r="D28" s="7" t="inlineStr">
        <is>
          <t>NO</t>
        </is>
      </c>
      <c r="E28" s="7" t="inlineStr">
        <is>
          <t>شمارنده تأمین‌کننده</t>
        </is>
      </c>
    </row>
    <row r="29">
      <c r="A29" s="2" t="inlineStr">
        <is>
          <t>Seq_Quote</t>
        </is>
      </c>
      <c r="B29" s="5" t="n">
        <v>550</v>
      </c>
      <c r="C29" s="2" t="inlineStr">
        <is>
          <t>Number</t>
        </is>
      </c>
      <c r="D29" s="2" t="inlineStr">
        <is>
          <t>NO</t>
        </is>
      </c>
      <c r="E29" s="2" t="inlineStr">
        <is>
          <t>شمارنده استعلام</t>
        </is>
      </c>
    </row>
    <row r="30">
      <c r="A30" s="7" t="inlineStr">
        <is>
          <t>Seq_Quotation</t>
        </is>
      </c>
      <c r="B30" s="8" t="n">
        <v>126</v>
      </c>
      <c r="C30" s="7" t="inlineStr">
        <is>
          <t>Number</t>
        </is>
      </c>
      <c r="D30" s="7" t="inlineStr">
        <is>
          <t>NO</t>
        </is>
      </c>
      <c r="E30" s="7" t="inlineStr">
        <is>
          <t>شمارنده پیشنهاد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rotectedRanges>
    <protectedRange name="ROL-09_1" sqref="B3:B30" password="8265"/>
  </protectedRange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tabColor rgb="00A6A6A6"/>
    <outlinePr summaryBelow="1" summaryRight="1"/>
    <pageSetUpPr/>
  </sheetPr>
  <dimension ref="A1:B7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</cols>
  <sheetData>
    <row r="1">
      <c r="A1" s="1" t="inlineStr">
        <is>
          <t>Lists</t>
        </is>
      </c>
      <c r="B1" s="3" t="inlineStr">
        <is>
          <t>فهرست‌های Data Validation (داده‌های مجاز).</t>
        </is>
      </c>
    </row>
    <row r="2">
      <c r="A2" s="4" t="inlineStr">
        <is>
          <t>List_Name</t>
        </is>
      </c>
      <c r="B2" s="4" t="inlineStr">
        <is>
          <t>Value</t>
        </is>
      </c>
    </row>
    <row r="3">
      <c r="A3" s="2" t="inlineStr">
        <is>
          <t>UoM</t>
        </is>
      </c>
      <c r="B3" s="5" t="inlineStr">
        <is>
          <t>pcs</t>
        </is>
      </c>
    </row>
    <row r="4">
      <c r="A4" s="7" t="inlineStr">
        <is>
          <t>UoM</t>
        </is>
      </c>
      <c r="B4" s="8" t="inlineStr">
        <is>
          <t>kg</t>
        </is>
      </c>
    </row>
    <row r="5">
      <c r="A5" s="2" t="inlineStr">
        <is>
          <t>UoM</t>
        </is>
      </c>
      <c r="B5" s="5" t="inlineStr">
        <is>
          <t>m</t>
        </is>
      </c>
    </row>
    <row r="6">
      <c r="A6" s="7" t="inlineStr">
        <is>
          <t>UoM</t>
        </is>
      </c>
      <c r="B6" s="8" t="inlineStr">
        <is>
          <t>m2</t>
        </is>
      </c>
    </row>
    <row r="7">
      <c r="A7" s="2" t="inlineStr">
        <is>
          <t>UoM</t>
        </is>
      </c>
      <c r="B7" s="5" t="inlineStr">
        <is>
          <t>liter</t>
        </is>
      </c>
    </row>
    <row r="8">
      <c r="A8" s="7" t="inlineStr">
        <is>
          <t>UoM</t>
        </is>
      </c>
      <c r="B8" s="8" t="inlineStr">
        <is>
          <t>set</t>
        </is>
      </c>
    </row>
    <row r="9">
      <c r="A9" s="2" t="inlineStr">
        <is>
          <t>UoM</t>
        </is>
      </c>
      <c r="B9" s="5" t="inlineStr">
        <is>
          <t>ton</t>
        </is>
      </c>
    </row>
    <row r="10">
      <c r="A10" s="7" t="inlineStr">
        <is>
          <t>Currency</t>
        </is>
      </c>
      <c r="B10" s="8" t="inlineStr">
        <is>
          <t>IRR</t>
        </is>
      </c>
    </row>
    <row r="11">
      <c r="A11" s="2" t="inlineStr">
        <is>
          <t>Currency</t>
        </is>
      </c>
      <c r="B11" s="5" t="inlineStr">
        <is>
          <t>USD</t>
        </is>
      </c>
    </row>
    <row r="12">
      <c r="A12" s="7" t="inlineStr">
        <is>
          <t>Currency</t>
        </is>
      </c>
      <c r="B12" s="8" t="inlineStr">
        <is>
          <t>EUR</t>
        </is>
      </c>
    </row>
    <row r="13">
      <c r="A13" s="2" t="inlineStr">
        <is>
          <t>Material_Type</t>
        </is>
      </c>
      <c r="B13" s="5" t="inlineStr">
        <is>
          <t>Raw Material</t>
        </is>
      </c>
    </row>
    <row r="14">
      <c r="A14" s="7" t="inlineStr">
        <is>
          <t>Material_Type</t>
        </is>
      </c>
      <c r="B14" s="8" t="inlineStr">
        <is>
          <t>Purchased Part</t>
        </is>
      </c>
    </row>
    <row r="15">
      <c r="A15" s="2" t="inlineStr">
        <is>
          <t>Material_Type</t>
        </is>
      </c>
      <c r="B15" s="5" t="inlineStr">
        <is>
          <t>Assembly</t>
        </is>
      </c>
    </row>
    <row r="16">
      <c r="A16" s="7" t="inlineStr">
        <is>
          <t>Material_Type</t>
        </is>
      </c>
      <c r="B16" s="8" t="inlineStr">
        <is>
          <t>Sub Assembly</t>
        </is>
      </c>
    </row>
    <row r="17">
      <c r="A17" s="2" t="inlineStr">
        <is>
          <t>Material_Type</t>
        </is>
      </c>
      <c r="B17" s="5" t="inlineStr">
        <is>
          <t>Packaging</t>
        </is>
      </c>
    </row>
    <row r="18">
      <c r="A18" s="7" t="inlineStr">
        <is>
          <t>Material_Type</t>
        </is>
      </c>
      <c r="B18" s="8" t="inlineStr">
        <is>
          <t>Consumable</t>
        </is>
      </c>
    </row>
    <row r="19">
      <c r="A19" s="2" t="inlineStr">
        <is>
          <t>Make_Buy</t>
        </is>
      </c>
      <c r="B19" s="5" t="inlineStr">
        <is>
          <t>Make</t>
        </is>
      </c>
    </row>
    <row r="20">
      <c r="A20" s="7" t="inlineStr">
        <is>
          <t>Make_Buy</t>
        </is>
      </c>
      <c r="B20" s="8" t="inlineStr">
        <is>
          <t>Buy</t>
        </is>
      </c>
    </row>
    <row r="21">
      <c r="A21" s="2" t="inlineStr">
        <is>
          <t>Order_Type</t>
        </is>
      </c>
      <c r="B21" s="5" t="inlineStr">
        <is>
          <t>New</t>
        </is>
      </c>
    </row>
    <row r="22">
      <c r="A22" s="7" t="inlineStr">
        <is>
          <t>Order_Type</t>
        </is>
      </c>
      <c r="B22" s="8" t="inlineStr">
        <is>
          <t>Repeat</t>
        </is>
      </c>
    </row>
    <row r="23">
      <c r="A23" s="2" t="inlineStr">
        <is>
          <t>Order_Type</t>
        </is>
      </c>
      <c r="B23" s="5" t="inlineStr">
        <is>
          <t>Amendment</t>
        </is>
      </c>
    </row>
    <row r="24">
      <c r="A24" s="7" t="inlineStr">
        <is>
          <t>Confidentiality</t>
        </is>
      </c>
      <c r="B24" s="8" t="inlineStr">
        <is>
          <t>Public</t>
        </is>
      </c>
    </row>
    <row r="25">
      <c r="A25" s="2" t="inlineStr">
        <is>
          <t>Confidentiality</t>
        </is>
      </c>
      <c r="B25" s="5" t="inlineStr">
        <is>
          <t>Internal</t>
        </is>
      </c>
    </row>
    <row r="26">
      <c r="A26" s="7" t="inlineStr">
        <is>
          <t>Confidentiality</t>
        </is>
      </c>
      <c r="B26" s="8" t="inlineStr">
        <is>
          <t>Confidential</t>
        </is>
      </c>
    </row>
    <row r="27">
      <c r="A27" s="2" t="inlineStr">
        <is>
          <t>Confidentiality</t>
        </is>
      </c>
      <c r="B27" s="5" t="inlineStr">
        <is>
          <t>Strictly Confidential</t>
        </is>
      </c>
    </row>
    <row r="28">
      <c r="A28" s="7" t="inlineStr">
        <is>
          <t>Priority</t>
        </is>
      </c>
      <c r="B28" s="8" t="inlineStr">
        <is>
          <t>Low</t>
        </is>
      </c>
    </row>
    <row r="29">
      <c r="A29" s="2" t="inlineStr">
        <is>
          <t>Priority</t>
        </is>
      </c>
      <c r="B29" s="5" t="inlineStr">
        <is>
          <t>Medium</t>
        </is>
      </c>
    </row>
    <row r="30">
      <c r="A30" s="7" t="inlineStr">
        <is>
          <t>Priority</t>
        </is>
      </c>
      <c r="B30" s="8" t="inlineStr">
        <is>
          <t>High</t>
        </is>
      </c>
    </row>
    <row r="31">
      <c r="A31" s="2" t="inlineStr">
        <is>
          <t>Priority</t>
        </is>
      </c>
      <c r="B31" s="5" t="inlineStr">
        <is>
          <t>Critical</t>
        </is>
      </c>
    </row>
    <row r="32">
      <c r="A32" s="7" t="inlineStr">
        <is>
          <t>Decision</t>
        </is>
      </c>
      <c r="B32" s="8" t="inlineStr">
        <is>
          <t>APPROVED</t>
        </is>
      </c>
    </row>
    <row r="33">
      <c r="A33" s="2" t="inlineStr">
        <is>
          <t>Decision</t>
        </is>
      </c>
      <c r="B33" s="5" t="inlineStr">
        <is>
          <t>APPROVED WITH CONDITION</t>
        </is>
      </c>
    </row>
    <row r="34">
      <c r="A34" s="7" t="inlineStr">
        <is>
          <t>Decision</t>
        </is>
      </c>
      <c r="B34" s="8" t="inlineStr">
        <is>
          <t>RETURN FOR REVISION</t>
        </is>
      </c>
    </row>
    <row r="35">
      <c r="A35" s="2" t="inlineStr">
        <is>
          <t>Decision</t>
        </is>
      </c>
      <c r="B35" s="5" t="inlineStr">
        <is>
          <t>REJECTED</t>
        </is>
      </c>
    </row>
    <row r="36">
      <c r="A36" s="7" t="inlineStr">
        <is>
          <t>Stage</t>
        </is>
      </c>
      <c r="B36" s="8" t="inlineStr">
        <is>
          <t>Sales</t>
        </is>
      </c>
    </row>
    <row r="37">
      <c r="A37" s="2" t="inlineStr">
        <is>
          <t>Stage</t>
        </is>
      </c>
      <c r="B37" s="5" t="inlineStr">
        <is>
          <t>Engineering</t>
        </is>
      </c>
    </row>
    <row r="38">
      <c r="A38" s="7" t="inlineStr">
        <is>
          <t>Stage</t>
        </is>
      </c>
      <c r="B38" s="8" t="inlineStr">
        <is>
          <t>Planning</t>
        </is>
      </c>
    </row>
    <row r="39">
      <c r="A39" s="2" t="inlineStr">
        <is>
          <t>Stage</t>
        </is>
      </c>
      <c r="B39" s="5" t="inlineStr">
        <is>
          <t>Procurement</t>
        </is>
      </c>
    </row>
    <row r="40">
      <c r="A40" s="7" t="inlineStr">
        <is>
          <t>Stage</t>
        </is>
      </c>
      <c r="B40" s="8" t="inlineStr">
        <is>
          <t>Finance</t>
        </is>
      </c>
    </row>
    <row r="41">
      <c r="A41" s="2" t="inlineStr">
        <is>
          <t>Stage</t>
        </is>
      </c>
      <c r="B41" s="5" t="inlineStr">
        <is>
          <t>Management</t>
        </is>
      </c>
    </row>
    <row r="42">
      <c r="A42" s="7" t="inlineStr">
        <is>
          <t>Stage_Status</t>
        </is>
      </c>
      <c r="B42" s="8" t="inlineStr">
        <is>
          <t>Completed</t>
        </is>
      </c>
    </row>
    <row r="43">
      <c r="A43" s="2" t="inlineStr">
        <is>
          <t>Stage_Status</t>
        </is>
      </c>
      <c r="B43" s="5" t="inlineStr">
        <is>
          <t>In Progress</t>
        </is>
      </c>
    </row>
    <row r="44">
      <c r="A44" s="7" t="inlineStr">
        <is>
          <t>Stage_Status</t>
        </is>
      </c>
      <c r="B44" s="8" t="inlineStr">
        <is>
          <t>Pending</t>
        </is>
      </c>
    </row>
    <row r="45">
      <c r="A45" s="2" t="inlineStr">
        <is>
          <t>Stage_Status</t>
        </is>
      </c>
      <c r="B45" s="5" t="inlineStr">
        <is>
          <t>Not Started</t>
        </is>
      </c>
    </row>
    <row r="46">
      <c r="A46" s="7" t="inlineStr">
        <is>
          <t>Stage_Status</t>
        </is>
      </c>
      <c r="B46" s="8" t="inlineStr">
        <is>
          <t>Blocked</t>
        </is>
      </c>
    </row>
    <row r="47">
      <c r="A47" s="2" t="inlineStr">
        <is>
          <t>Schedule_Status</t>
        </is>
      </c>
      <c r="B47" s="5" t="inlineStr">
        <is>
          <t>Not Started</t>
        </is>
      </c>
    </row>
    <row r="48">
      <c r="A48" s="7" t="inlineStr">
        <is>
          <t>Schedule_Status</t>
        </is>
      </c>
      <c r="B48" s="8" t="inlineStr">
        <is>
          <t>In Progress</t>
        </is>
      </c>
    </row>
    <row r="49">
      <c r="A49" s="2" t="inlineStr">
        <is>
          <t>Schedule_Status</t>
        </is>
      </c>
      <c r="B49" s="5" t="inlineStr">
        <is>
          <t>Done</t>
        </is>
      </c>
    </row>
    <row r="50">
      <c r="A50" s="7" t="inlineStr">
        <is>
          <t>Schedule_Status</t>
        </is>
      </c>
      <c r="B50" s="8" t="inlineStr">
        <is>
          <t>Delayed</t>
        </is>
      </c>
    </row>
    <row r="51">
      <c r="A51" s="2" t="inlineStr">
        <is>
          <t>Incoterm</t>
        </is>
      </c>
      <c r="B51" s="5" t="inlineStr">
        <is>
          <t>EXW</t>
        </is>
      </c>
    </row>
    <row r="52">
      <c r="A52" s="7" t="inlineStr">
        <is>
          <t>Incoterm</t>
        </is>
      </c>
      <c r="B52" s="8" t="inlineStr">
        <is>
          <t>FCA</t>
        </is>
      </c>
    </row>
    <row r="53">
      <c r="A53" s="2" t="inlineStr">
        <is>
          <t>Incoterm</t>
        </is>
      </c>
      <c r="B53" s="5" t="inlineStr">
        <is>
          <t>CPT</t>
        </is>
      </c>
    </row>
    <row r="54">
      <c r="A54" s="7" t="inlineStr">
        <is>
          <t>Incoterm</t>
        </is>
      </c>
      <c r="B54" s="8" t="inlineStr">
        <is>
          <t>CIP</t>
        </is>
      </c>
    </row>
    <row r="55">
      <c r="A55" s="2" t="inlineStr">
        <is>
          <t>Incoterm</t>
        </is>
      </c>
      <c r="B55" s="5" t="inlineStr">
        <is>
          <t>DAP</t>
        </is>
      </c>
    </row>
    <row r="56">
      <c r="A56" s="7" t="inlineStr">
        <is>
          <t>Incoterm</t>
        </is>
      </c>
      <c r="B56" s="8" t="inlineStr">
        <is>
          <t>DDP</t>
        </is>
      </c>
    </row>
    <row r="57">
      <c r="A57" s="2" t="inlineStr">
        <is>
          <t>Payment_Risk</t>
        </is>
      </c>
      <c r="B57" s="5" t="inlineStr">
        <is>
          <t>Low</t>
        </is>
      </c>
    </row>
    <row r="58">
      <c r="A58" s="7" t="inlineStr">
        <is>
          <t>Payment_Risk</t>
        </is>
      </c>
      <c r="B58" s="8" t="inlineStr">
        <is>
          <t>Medium</t>
        </is>
      </c>
    </row>
    <row r="59">
      <c r="A59" s="2" t="inlineStr">
        <is>
          <t>Payment_Risk</t>
        </is>
      </c>
      <c r="B59" s="5" t="inlineStr">
        <is>
          <t>High</t>
        </is>
      </c>
    </row>
    <row r="60">
      <c r="A60" s="7" t="inlineStr">
        <is>
          <t>YesNo</t>
        </is>
      </c>
      <c r="B60" s="8" t="inlineStr">
        <is>
          <t>Yes</t>
        </is>
      </c>
    </row>
    <row r="61">
      <c r="A61" s="2" t="inlineStr">
        <is>
          <t>YesNo</t>
        </is>
      </c>
      <c r="B61" s="5" t="inlineStr">
        <is>
          <t>No</t>
        </is>
      </c>
    </row>
    <row r="62">
      <c r="A62" s="7" t="inlineStr">
        <is>
          <t>Issue_Status</t>
        </is>
      </c>
      <c r="B62" s="8" t="inlineStr">
        <is>
          <t>Open</t>
        </is>
      </c>
    </row>
    <row r="63">
      <c r="A63" s="2" t="inlineStr">
        <is>
          <t>Issue_Status</t>
        </is>
      </c>
      <c r="B63" s="5" t="inlineStr">
        <is>
          <t>In Progress</t>
        </is>
      </c>
    </row>
    <row r="64">
      <c r="A64" s="7" t="inlineStr">
        <is>
          <t>Issue_Status</t>
        </is>
      </c>
      <c r="B64" s="8" t="inlineStr">
        <is>
          <t>Closed</t>
        </is>
      </c>
    </row>
    <row r="65">
      <c r="A65" s="2" t="inlineStr">
        <is>
          <t>Quote_Confirm_Status</t>
        </is>
      </c>
      <c r="B65" s="5" t="inlineStr">
        <is>
          <t>Quoted</t>
        </is>
      </c>
    </row>
    <row r="66">
      <c r="A66" s="7" t="inlineStr">
        <is>
          <t>Quote_Confirm_Status</t>
        </is>
      </c>
      <c r="B66" s="8" t="inlineStr">
        <is>
          <t>Confirmed</t>
        </is>
      </c>
    </row>
    <row r="67">
      <c r="A67" s="2" t="inlineStr">
        <is>
          <t>Quote_Confirm_Status</t>
        </is>
      </c>
      <c r="B67" s="5" t="inlineStr">
        <is>
          <t>Revoked</t>
        </is>
      </c>
    </row>
    <row r="68">
      <c r="A68" s="7" t="inlineStr">
        <is>
          <t>Price_Status</t>
        </is>
      </c>
      <c r="B68" s="8" t="inlineStr">
        <is>
          <t>Approved</t>
        </is>
      </c>
    </row>
    <row r="69">
      <c r="A69" s="2" t="inlineStr">
        <is>
          <t>Price_Status</t>
        </is>
      </c>
      <c r="B69" s="5" t="inlineStr">
        <is>
          <t>Repriced</t>
        </is>
      </c>
    </row>
    <row r="70">
      <c r="A70" s="7" t="inlineStr">
        <is>
          <t>Price_Status</t>
        </is>
      </c>
      <c r="B70" s="8" t="inlineStr">
        <is>
          <t>Expired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tabColor rgb="00A6A6A6"/>
    <outlinePr summaryBelow="1" summaryRight="1"/>
    <pageSetUpPr/>
  </sheetPr>
  <dimension ref="A1:D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1" customWidth="1" min="4" max="4"/>
  </cols>
  <sheetData>
    <row r="1">
      <c r="A1" s="1" t="inlineStr">
        <is>
          <t>Statuses</t>
        </is>
      </c>
      <c r="B1" s="3" t="inlineStr">
        <is>
          <t>وضعیت سراسری (Universal Status) — همه جداول از این فهرست استفاده می‌کنند.</t>
        </is>
      </c>
    </row>
    <row r="2">
      <c r="A2" s="4" t="inlineStr">
        <is>
          <t>Status_ID</t>
        </is>
      </c>
      <c r="B2" s="4" t="inlineStr">
        <is>
          <t>Status_Name</t>
        </is>
      </c>
      <c r="C2" s="4" t="inlineStr">
        <is>
          <t>Status_Group</t>
        </is>
      </c>
      <c r="D2" s="4" t="inlineStr">
        <is>
          <t>Sequence</t>
        </is>
      </c>
    </row>
    <row r="3">
      <c r="A3" s="2" t="inlineStr">
        <is>
          <t>ST-01</t>
        </is>
      </c>
      <c r="B3" s="2" t="inlineStr">
        <is>
          <t>Draft</t>
        </is>
      </c>
      <c r="C3" s="2" t="inlineStr">
        <is>
          <t>Draft</t>
        </is>
      </c>
      <c r="D3" s="12" t="n">
        <v>1</v>
      </c>
    </row>
    <row r="4">
      <c r="A4" s="7" t="inlineStr">
        <is>
          <t>ST-02</t>
        </is>
      </c>
      <c r="B4" s="7" t="inlineStr">
        <is>
          <t>In Review</t>
        </is>
      </c>
      <c r="C4" s="7" t="inlineStr">
        <is>
          <t>Review</t>
        </is>
      </c>
      <c r="D4" s="15" t="n">
        <v>2</v>
      </c>
    </row>
    <row r="5">
      <c r="A5" s="2" t="inlineStr">
        <is>
          <t>ST-03</t>
        </is>
      </c>
      <c r="B5" s="2" t="inlineStr">
        <is>
          <t>Waiting Approval</t>
        </is>
      </c>
      <c r="C5" s="2" t="inlineStr">
        <is>
          <t>Approval</t>
        </is>
      </c>
      <c r="D5" s="12" t="n">
        <v>3</v>
      </c>
    </row>
    <row r="6">
      <c r="A6" s="7" t="inlineStr">
        <is>
          <t>ST-04</t>
        </is>
      </c>
      <c r="B6" s="7" t="inlineStr">
        <is>
          <t>Approved</t>
        </is>
      </c>
      <c r="C6" s="7" t="inlineStr">
        <is>
          <t>Approved</t>
        </is>
      </c>
      <c r="D6" s="15" t="n">
        <v>4</v>
      </c>
    </row>
    <row r="7">
      <c r="A7" s="2" t="inlineStr">
        <is>
          <t>ST-05</t>
        </is>
      </c>
      <c r="B7" s="2" t="inlineStr">
        <is>
          <t>Rejected</t>
        </is>
      </c>
      <c r="C7" s="2" t="inlineStr">
        <is>
          <t>Rejected</t>
        </is>
      </c>
      <c r="D7" s="12" t="n">
        <v>5</v>
      </c>
    </row>
    <row r="8">
      <c r="A8" s="7" t="inlineStr">
        <is>
          <t>ST-06</t>
        </is>
      </c>
      <c r="B8" s="7" t="inlineStr">
        <is>
          <t>Returned</t>
        </is>
      </c>
      <c r="C8" s="7" t="inlineStr">
        <is>
          <t>Rejected</t>
        </is>
      </c>
      <c r="D8" s="15" t="n">
        <v>6</v>
      </c>
    </row>
    <row r="9">
      <c r="A9" s="2" t="inlineStr">
        <is>
          <t>ST-07</t>
        </is>
      </c>
      <c r="B9" s="2" t="inlineStr">
        <is>
          <t>Closed</t>
        </is>
      </c>
      <c r="C9" s="2" t="inlineStr">
        <is>
          <t>Closed</t>
        </is>
      </c>
      <c r="D9" s="12" t="n">
        <v>7</v>
      </c>
    </row>
    <row r="10">
      <c r="A10" s="7" t="inlineStr">
        <is>
          <t>ST-08</t>
        </is>
      </c>
      <c r="B10" s="7" t="inlineStr">
        <is>
          <t>Cancelled</t>
        </is>
      </c>
      <c r="C10" s="7" t="inlineStr">
        <is>
          <t>Closed</t>
        </is>
      </c>
      <c r="D10" s="15" t="n">
        <v>8</v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dataValidations count="1">
    <dataValidation sqref="A3:A10" showDropDown="0" showInputMessage="0" showErrorMessage="1" allowBlank="1" errorTitle="Data Validation" error="مقدار خارج از فهرست مجاز است" promptTitle="Status_ID" prompt="انتخاب از فهرست مجاز برای Status_ID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tabColor rgb="00A6A6A6"/>
    <outlinePr summaryBelow="1" summaryRight="1"/>
    <pageSetUpPr/>
  </sheetPr>
  <dimension ref="A1:B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</cols>
  <sheetData>
    <row r="1">
      <c r="A1" s="1" t="inlineStr">
        <is>
          <t>Departments</t>
        </is>
      </c>
    </row>
    <row r="2">
      <c r="A2" s="4" t="inlineStr">
        <is>
          <t>Department_ID</t>
        </is>
      </c>
      <c r="B2" s="4" t="inlineStr">
        <is>
          <t>Department_Name</t>
        </is>
      </c>
    </row>
    <row r="3">
      <c r="A3" s="2" t="inlineStr">
        <is>
          <t>DEP-01</t>
        </is>
      </c>
      <c r="B3" s="2" t="inlineStr">
        <is>
          <t>Sales</t>
        </is>
      </c>
    </row>
    <row r="4">
      <c r="A4" s="7" t="inlineStr">
        <is>
          <t>DEP-02</t>
        </is>
      </c>
      <c r="B4" s="7" t="inlineStr">
        <is>
          <t>Engineering</t>
        </is>
      </c>
    </row>
    <row r="5">
      <c r="A5" s="2" t="inlineStr">
        <is>
          <t>DEP-03</t>
        </is>
      </c>
      <c r="B5" s="2" t="inlineStr">
        <is>
          <t>Planning</t>
        </is>
      </c>
    </row>
    <row r="6">
      <c r="A6" s="7" t="inlineStr">
        <is>
          <t>DEP-04</t>
        </is>
      </c>
      <c r="B6" s="7" t="inlineStr">
        <is>
          <t>Procurement</t>
        </is>
      </c>
    </row>
    <row r="7">
      <c r="A7" s="2" t="inlineStr">
        <is>
          <t>DEP-05</t>
        </is>
      </c>
      <c r="B7" s="2" t="inlineStr">
        <is>
          <t>Finance</t>
        </is>
      </c>
    </row>
    <row r="8">
      <c r="A8" s="7" t="inlineStr">
        <is>
          <t>DEP-06</t>
        </is>
      </c>
      <c r="B8" s="7" t="inlineStr">
        <is>
          <t>PMO</t>
        </is>
      </c>
    </row>
    <row r="9">
      <c r="A9" s="2" t="inlineStr">
        <is>
          <t>DEP-07</t>
        </is>
      </c>
      <c r="B9" s="2" t="inlineStr">
        <is>
          <t>Management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tabColor rgb="00A6A6A6"/>
    <outlinePr summaryBelow="1" summaryRight="1"/>
    <pageSetUpPr/>
  </sheetPr>
  <dimension ref="A1:B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Roles</t>
        </is>
      </c>
    </row>
    <row r="2">
      <c r="A2" s="4" t="inlineStr">
        <is>
          <t>Role_ID</t>
        </is>
      </c>
      <c r="B2" s="4" t="inlineStr">
        <is>
          <t>Role_Name</t>
        </is>
      </c>
    </row>
    <row r="3">
      <c r="A3" s="2" t="inlineStr">
        <is>
          <t>ROL-01</t>
        </is>
      </c>
      <c r="B3" s="2" t="inlineStr">
        <is>
          <t>Sales Manager</t>
        </is>
      </c>
    </row>
    <row r="4">
      <c r="A4" s="7" t="inlineStr">
        <is>
          <t>ROL-02</t>
        </is>
      </c>
      <c r="B4" s="7" t="inlineStr">
        <is>
          <t>Sales Rep</t>
        </is>
      </c>
    </row>
    <row r="5">
      <c r="A5" s="2" t="inlineStr">
        <is>
          <t>ROL-03</t>
        </is>
      </c>
      <c r="B5" s="2" t="inlineStr">
        <is>
          <t>Project Manager</t>
        </is>
      </c>
    </row>
    <row r="6">
      <c r="A6" s="7" t="inlineStr">
        <is>
          <t>ROL-04</t>
        </is>
      </c>
      <c r="B6" s="7" t="inlineStr">
        <is>
          <t>Engineering Lead</t>
        </is>
      </c>
    </row>
    <row r="7">
      <c r="A7" s="2" t="inlineStr">
        <is>
          <t>ROL-05</t>
        </is>
      </c>
      <c r="B7" s="2" t="inlineStr">
        <is>
          <t>Planning Manager</t>
        </is>
      </c>
    </row>
    <row r="8">
      <c r="A8" s="7" t="inlineStr">
        <is>
          <t>ROL-06</t>
        </is>
      </c>
      <c r="B8" s="7" t="inlineStr">
        <is>
          <t>Procurement Manager</t>
        </is>
      </c>
    </row>
    <row r="9">
      <c r="A9" s="2" t="inlineStr">
        <is>
          <t>ROL-07</t>
        </is>
      </c>
      <c r="B9" s="2" t="inlineStr">
        <is>
          <t>Finance Manager</t>
        </is>
      </c>
    </row>
    <row r="10">
      <c r="A10" s="7" t="inlineStr">
        <is>
          <t>ROL-08</t>
        </is>
      </c>
      <c r="B10" s="7" t="inlineStr">
        <is>
          <t>Senior Management</t>
        </is>
      </c>
    </row>
    <row r="11">
      <c r="A11" s="2" t="inlineStr">
        <is>
          <t>ROL-09</t>
        </is>
      </c>
      <c r="B11" s="2" t="inlineStr">
        <is>
          <t>Admin</t>
        </is>
      </c>
    </row>
    <row r="12">
      <c r="A12" s="7" t="inlineStr">
        <is>
          <t>ROL-10</t>
        </is>
      </c>
      <c r="B12" s="7" t="inlineStr">
        <is>
          <t>Warehouse Keeper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tabColor rgb="00A6A6A6"/>
    <outlinePr summaryBelow="1" summaryRight="1"/>
    <pageSetUpPr/>
  </sheetPr>
  <dimension ref="A1:G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1" customWidth="1" min="4" max="4"/>
    <col width="11" customWidth="1" min="5" max="5"/>
    <col width="18" customWidth="1" min="6" max="6"/>
    <col width="12" customWidth="1" min="7" max="7"/>
  </cols>
  <sheetData>
    <row r="1">
      <c r="A1" s="1" t="inlineStr">
        <is>
          <t>Users</t>
        </is>
      </c>
      <c r="B1" s="3" t="inlineStr">
        <is>
          <t>کاربران سازمانی؛ Approval_Level پایه ماتریس تأیید است.</t>
        </is>
      </c>
    </row>
    <row r="2">
      <c r="A2" s="4" t="inlineStr">
        <is>
          <t>User_ID</t>
        </is>
      </c>
      <c r="B2" s="4" t="inlineStr">
        <is>
          <t>Name</t>
        </is>
      </c>
      <c r="C2" s="4" t="inlineStr">
        <is>
          <t>Department_ID</t>
        </is>
      </c>
      <c r="D2" s="4" t="inlineStr">
        <is>
          <t>Role_ID</t>
        </is>
      </c>
      <c r="E2" s="4" t="inlineStr">
        <is>
          <t>Email</t>
        </is>
      </c>
      <c r="F2" s="4" t="inlineStr">
        <is>
          <t>Approval_Level</t>
        </is>
      </c>
      <c r="G2" s="4" t="inlineStr">
        <is>
          <t>Is_Active</t>
        </is>
      </c>
    </row>
    <row r="3">
      <c r="A3" s="2" t="inlineStr">
        <is>
          <t>USR-01</t>
        </is>
      </c>
      <c r="B3" s="2" t="inlineStr">
        <is>
          <t>Babak A</t>
        </is>
      </c>
      <c r="C3" s="2" t="inlineStr">
        <is>
          <t>DEP-01</t>
        </is>
      </c>
      <c r="D3" s="2" t="inlineStr">
        <is>
          <t>ROL-01</t>
        </is>
      </c>
      <c r="E3" s="2" t="inlineStr">
        <is>
          <t>babak@example.com</t>
        </is>
      </c>
      <c r="F3" s="12" t="n">
        <v>2</v>
      </c>
      <c r="G3" s="2" t="n">
        <v>1</v>
      </c>
    </row>
    <row r="4">
      <c r="A4" s="7" t="inlineStr">
        <is>
          <t>USR-02</t>
        </is>
      </c>
      <c r="B4" s="7" t="inlineStr">
        <is>
          <t>Sara S</t>
        </is>
      </c>
      <c r="C4" s="7" t="inlineStr">
        <is>
          <t>DEP-01</t>
        </is>
      </c>
      <c r="D4" s="7" t="inlineStr">
        <is>
          <t>ROL-02</t>
        </is>
      </c>
      <c r="E4" s="7" t="inlineStr">
        <is>
          <t>sara@example.com</t>
        </is>
      </c>
      <c r="F4" s="15" t="n">
        <v>1</v>
      </c>
      <c r="G4" s="7" t="n">
        <v>1</v>
      </c>
    </row>
    <row r="5">
      <c r="A5" s="2" t="inlineStr">
        <is>
          <t>USR-03</t>
        </is>
      </c>
      <c r="B5" s="2" t="inlineStr">
        <is>
          <t>Reza M</t>
        </is>
      </c>
      <c r="C5" s="2" t="inlineStr">
        <is>
          <t>DEP-06</t>
        </is>
      </c>
      <c r="D5" s="2" t="inlineStr">
        <is>
          <t>ROL-03</t>
        </is>
      </c>
      <c r="E5" s="2" t="inlineStr">
        <is>
          <t>reza@example.com</t>
        </is>
      </c>
      <c r="F5" s="12" t="n">
        <v>3</v>
      </c>
      <c r="G5" s="2" t="n">
        <v>1</v>
      </c>
    </row>
    <row r="6">
      <c r="A6" s="7" t="inlineStr">
        <is>
          <t>USR-04</t>
        </is>
      </c>
      <c r="B6" s="7" t="inlineStr">
        <is>
          <t>Neda E</t>
        </is>
      </c>
      <c r="C6" s="7" t="inlineStr">
        <is>
          <t>DEP-02</t>
        </is>
      </c>
      <c r="D6" s="7" t="inlineStr">
        <is>
          <t>ROL-04</t>
        </is>
      </c>
      <c r="E6" s="7" t="inlineStr">
        <is>
          <t>neda@example.com</t>
        </is>
      </c>
      <c r="F6" s="15" t="n">
        <v>3</v>
      </c>
      <c r="G6" s="7" t="n">
        <v>1</v>
      </c>
    </row>
    <row r="7">
      <c r="A7" s="2" t="inlineStr">
        <is>
          <t>USR-05</t>
        </is>
      </c>
      <c r="B7" s="2" t="inlineStr">
        <is>
          <t>Kaveh P</t>
        </is>
      </c>
      <c r="C7" s="2" t="inlineStr">
        <is>
          <t>DEP-03</t>
        </is>
      </c>
      <c r="D7" s="2" t="inlineStr">
        <is>
          <t>ROL-05</t>
        </is>
      </c>
      <c r="E7" s="2" t="inlineStr">
        <is>
          <t>kaveh@example.com</t>
        </is>
      </c>
      <c r="F7" s="12" t="n">
        <v>2</v>
      </c>
      <c r="G7" s="2" t="n">
        <v>1</v>
      </c>
    </row>
    <row r="8">
      <c r="A8" s="7" t="inlineStr">
        <is>
          <t>USR-06</t>
        </is>
      </c>
      <c r="B8" s="7" t="inlineStr">
        <is>
          <t>Mina T</t>
        </is>
      </c>
      <c r="C8" s="7" t="inlineStr">
        <is>
          <t>DEP-04</t>
        </is>
      </c>
      <c r="D8" s="7" t="inlineStr">
        <is>
          <t>ROL-06</t>
        </is>
      </c>
      <c r="E8" s="7" t="inlineStr">
        <is>
          <t>mina@example.com</t>
        </is>
      </c>
      <c r="F8" s="15" t="n">
        <v>3</v>
      </c>
      <c r="G8" s="7" t="n">
        <v>1</v>
      </c>
    </row>
    <row r="9">
      <c r="A9" s="2" t="inlineStr">
        <is>
          <t>USR-07</t>
        </is>
      </c>
      <c r="B9" s="2" t="inlineStr">
        <is>
          <t>Ali F</t>
        </is>
      </c>
      <c r="C9" s="2" t="inlineStr">
        <is>
          <t>DEP-05</t>
        </is>
      </c>
      <c r="D9" s="2" t="inlineStr">
        <is>
          <t>ROL-07</t>
        </is>
      </c>
      <c r="E9" s="2" t="inlineStr">
        <is>
          <t>ali@example.com</t>
        </is>
      </c>
      <c r="F9" s="12" t="n">
        <v>4</v>
      </c>
      <c r="G9" s="2" t="n">
        <v>1</v>
      </c>
    </row>
    <row r="10">
      <c r="A10" s="7" t="inlineStr">
        <is>
          <t>USR-08</t>
        </is>
      </c>
      <c r="B10" s="7" t="inlineStr">
        <is>
          <t>Borna G</t>
        </is>
      </c>
      <c r="C10" s="7" t="inlineStr">
        <is>
          <t>DEP-07</t>
        </is>
      </c>
      <c r="D10" s="7" t="inlineStr">
        <is>
          <t>ROL-08</t>
        </is>
      </c>
      <c r="E10" s="7" t="inlineStr">
        <is>
          <t>borna@example.com</t>
        </is>
      </c>
      <c r="F10" s="15" t="n">
        <v>5</v>
      </c>
      <c r="G10" s="7" t="n">
        <v>1</v>
      </c>
    </row>
    <row r="11">
      <c r="A11" s="2" t="inlineStr">
        <is>
          <t>USR-10</t>
        </is>
      </c>
      <c r="B11" s="2" t="inlineStr">
        <is>
          <t>Vahid K</t>
        </is>
      </c>
      <c r="C11" s="2" t="inlineStr">
        <is>
          <t>DEP-03</t>
        </is>
      </c>
      <c r="D11" s="2" t="inlineStr">
        <is>
          <t>ROL-10</t>
        </is>
      </c>
      <c r="E11" s="2" t="inlineStr">
        <is>
          <t>vahid@example.com</t>
        </is>
      </c>
      <c r="F11" s="12" t="n">
        <v>1</v>
      </c>
      <c r="G11" s="2" t="n">
        <v>1</v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tabColor rgb="00A6A6A6"/>
    <outlinePr summaryBelow="1" summaryRight="1"/>
    <pageSetUpPr/>
  </sheetPr>
  <dimension ref="A1:H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22" customWidth="1" min="4" max="4"/>
    <col width="14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Approval_Matrix</t>
        </is>
      </c>
    </row>
    <row r="2">
      <c r="A2" s="4" t="inlineStr">
        <is>
          <t>Entity</t>
        </is>
      </c>
      <c r="B2" s="4" t="inlineStr">
        <is>
          <t>Gate</t>
        </is>
      </c>
      <c r="C2" s="4" t="inlineStr">
        <is>
          <t>Approver_Role</t>
        </is>
      </c>
      <c r="D2" s="4" t="inlineStr">
        <is>
          <t>Min_Approval_Level</t>
        </is>
      </c>
      <c r="E2" s="4" t="inlineStr">
        <is>
          <t>Responsible</t>
        </is>
      </c>
      <c r="F2" s="4" t="inlineStr">
        <is>
          <t>Reviewer</t>
        </is>
      </c>
      <c r="G2" s="4" t="inlineStr">
        <is>
          <t>Approver</t>
        </is>
      </c>
      <c r="H2" s="4" t="inlineStr">
        <is>
          <t>Informed</t>
        </is>
      </c>
    </row>
    <row r="3">
      <c r="A3" s="2" t="inlineStr">
        <is>
          <t>Order</t>
        </is>
      </c>
      <c r="B3" s="2" t="inlineStr">
        <is>
          <t>Sales Review</t>
        </is>
      </c>
      <c r="C3" s="2" t="inlineStr">
        <is>
          <t>ROL-01</t>
        </is>
      </c>
      <c r="D3" s="12" t="n">
        <v>2</v>
      </c>
      <c r="E3" s="2" t="inlineStr">
        <is>
          <t>Sales Rep</t>
        </is>
      </c>
      <c r="F3" s="2" t="inlineStr">
        <is>
          <t>Sales Manager</t>
        </is>
      </c>
      <c r="G3" s="2" t="inlineStr">
        <is>
          <t>Sales Manager</t>
        </is>
      </c>
      <c r="H3" s="2" t="inlineStr">
        <is>
          <t>PMO</t>
        </is>
      </c>
    </row>
    <row r="4">
      <c r="A4" s="7" t="inlineStr">
        <is>
          <t>Project</t>
        </is>
      </c>
      <c r="B4" s="7" t="inlineStr">
        <is>
          <t>Project Created</t>
        </is>
      </c>
      <c r="C4" s="7" t="inlineStr">
        <is>
          <t>ROL-03</t>
        </is>
      </c>
      <c r="D4" s="15" t="n">
        <v>3</v>
      </c>
      <c r="E4" s="7" t="inlineStr">
        <is>
          <t>Project Manager</t>
        </is>
      </c>
      <c r="F4" s="7" t="inlineStr">
        <is>
          <t>PMO</t>
        </is>
      </c>
      <c r="G4" s="7" t="inlineStr">
        <is>
          <t>PMO</t>
        </is>
      </c>
      <c r="H4" s="7" t="inlineStr">
        <is>
          <t>All</t>
        </is>
      </c>
    </row>
    <row r="5">
      <c r="A5" s="2" t="inlineStr">
        <is>
          <t>BOM</t>
        </is>
      </c>
      <c r="B5" s="2" t="inlineStr">
        <is>
          <t>BOM Approval</t>
        </is>
      </c>
      <c r="C5" s="2" t="inlineStr">
        <is>
          <t>ROL-04</t>
        </is>
      </c>
      <c r="D5" s="12" t="n">
        <v>3</v>
      </c>
      <c r="E5" s="2" t="inlineStr">
        <is>
          <t>Engineering</t>
        </is>
      </c>
      <c r="F5" s="2" t="inlineStr">
        <is>
          <t>Engineering Lead</t>
        </is>
      </c>
      <c r="G5" s="2" t="inlineStr">
        <is>
          <t>Engineering Lead</t>
        </is>
      </c>
      <c r="H5" s="2" t="inlineStr">
        <is>
          <t>PMO</t>
        </is>
      </c>
    </row>
    <row r="6">
      <c r="A6" s="7" t="inlineStr">
        <is>
          <t>Supplier</t>
        </is>
      </c>
      <c r="B6" s="7" t="inlineStr">
        <is>
          <t>Supplier Selection</t>
        </is>
      </c>
      <c r="C6" s="7" t="inlineStr">
        <is>
          <t>ROL-06</t>
        </is>
      </c>
      <c r="D6" s="15" t="n">
        <v>3</v>
      </c>
      <c r="E6" s="7" t="inlineStr">
        <is>
          <t>Procurement</t>
        </is>
      </c>
      <c r="F6" s="7" t="inlineStr">
        <is>
          <t>Procurement Manager</t>
        </is>
      </c>
      <c r="G6" s="7" t="inlineStr">
        <is>
          <t>Procurement Manager</t>
        </is>
      </c>
      <c r="H6" s="7" t="inlineStr">
        <is>
          <t>Finance</t>
        </is>
      </c>
    </row>
    <row r="7">
      <c r="A7" s="2" t="inlineStr">
        <is>
          <t>Purchase Price</t>
        </is>
      </c>
      <c r="B7" s="2" t="inlineStr">
        <is>
          <t>Price Confirm</t>
        </is>
      </c>
      <c r="C7" s="2" t="inlineStr">
        <is>
          <t>ROL-06</t>
        </is>
      </c>
      <c r="D7" s="12" t="n">
        <v>3</v>
      </c>
      <c r="E7" s="2" t="inlineStr">
        <is>
          <t>Procurement</t>
        </is>
      </c>
      <c r="F7" s="2" t="inlineStr">
        <is>
          <t>Procurement Manager</t>
        </is>
      </c>
      <c r="G7" s="2" t="inlineStr">
        <is>
          <t>Procurement Manager</t>
        </is>
      </c>
      <c r="H7" s="2" t="inlineStr">
        <is>
          <t>Finance</t>
        </is>
      </c>
    </row>
    <row r="8">
      <c r="A8" s="7" t="inlineStr">
        <is>
          <t>Costing</t>
        </is>
      </c>
      <c r="B8" s="7" t="inlineStr">
        <is>
          <t>Finance Review</t>
        </is>
      </c>
      <c r="C8" s="7" t="inlineStr">
        <is>
          <t>ROL-07</t>
        </is>
      </c>
      <c r="D8" s="15" t="n">
        <v>4</v>
      </c>
      <c r="E8" s="7" t="inlineStr">
        <is>
          <t>Finance</t>
        </is>
      </c>
      <c r="F8" s="7" t="inlineStr">
        <is>
          <t>Finance Manager</t>
        </is>
      </c>
      <c r="G8" s="7" t="inlineStr">
        <is>
          <t>Finance Manager</t>
        </is>
      </c>
      <c r="H8" s="7" t="inlineStr">
        <is>
          <t>Sales</t>
        </is>
      </c>
    </row>
    <row r="9">
      <c r="A9" s="2" t="inlineStr">
        <is>
          <t>Quotation</t>
        </is>
      </c>
      <c r="B9" s="2" t="inlineStr">
        <is>
          <t>Sales Quotation</t>
        </is>
      </c>
      <c r="C9" s="2" t="inlineStr">
        <is>
          <t>ROL-01</t>
        </is>
      </c>
      <c r="D9" s="12" t="n">
        <v>3</v>
      </c>
      <c r="E9" s="2" t="inlineStr">
        <is>
          <t>Sales Manager</t>
        </is>
      </c>
      <c r="F9" s="2" t="inlineStr">
        <is>
          <t>Sales Manager</t>
        </is>
      </c>
      <c r="G9" s="2" t="inlineStr">
        <is>
          <t>Sales Manager</t>
        </is>
      </c>
      <c r="H9" s="2" t="inlineStr">
        <is>
          <t>Management</t>
        </is>
      </c>
    </row>
    <row r="10">
      <c r="A10" s="7" t="inlineStr">
        <is>
          <t>Quotation</t>
        </is>
      </c>
      <c r="B10" s="7" t="inlineStr">
        <is>
          <t>Management Approval</t>
        </is>
      </c>
      <c r="C10" s="7" t="inlineStr">
        <is>
          <t>ROL-08</t>
        </is>
      </c>
      <c r="D10" s="15" t="n">
        <v>5</v>
      </c>
      <c r="E10" s="7" t="inlineStr">
        <is>
          <t>Sales Manager</t>
        </is>
      </c>
      <c r="F10" s="7" t="inlineStr">
        <is>
          <t>Senior Management</t>
        </is>
      </c>
      <c r="G10" s="7" t="inlineStr">
        <is>
          <t>Senior Management</t>
        </is>
      </c>
      <c r="H10" s="7" t="inlineStr">
        <is>
          <t>All</t>
        </is>
      </c>
    </row>
    <row r="11">
      <c r="A11" s="2" t="inlineStr">
        <is>
          <t>*</t>
        </is>
      </c>
      <c r="B11" s="2" t="inlineStr">
        <is>
          <t>Post-Approval Change</t>
        </is>
      </c>
      <c r="C11" s="2" t="inlineStr">
        <is>
          <t>ROL-08</t>
        </is>
      </c>
      <c r="D11" s="12" t="n">
        <v>5</v>
      </c>
      <c r="E11" s="2" t="inlineStr">
        <is>
          <t>Owner</t>
        </is>
      </c>
      <c r="F11" s="2" t="inlineStr">
        <is>
          <t>Owner Approver</t>
        </is>
      </c>
      <c r="G11" s="2" t="inlineStr">
        <is>
          <t>Owner Approver</t>
        </is>
      </c>
      <c r="H11" s="2" t="inlineStr">
        <is>
          <t>Management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tabColor rgb="00A6A6A6"/>
    <outlinePr summaryBelow="1" summaryRight="1"/>
    <pageSetUpPr/>
  </sheetPr>
  <dimension ref="A1:H1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1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RACI</t>
        </is>
      </c>
    </row>
    <row r="2">
      <c r="A2" s="4" t="inlineStr">
        <is>
          <t>Activity</t>
        </is>
      </c>
      <c r="B2" s="4" t="inlineStr">
        <is>
          <t>Sales</t>
        </is>
      </c>
      <c r="C2" s="4" t="inlineStr">
        <is>
          <t>Engineering</t>
        </is>
      </c>
      <c r="D2" s="4" t="inlineStr">
        <is>
          <t>Planning</t>
        </is>
      </c>
      <c r="E2" s="4" t="inlineStr">
        <is>
          <t>Procurement</t>
        </is>
      </c>
      <c r="F2" s="4" t="inlineStr">
        <is>
          <t>Finance</t>
        </is>
      </c>
      <c r="G2" s="4" t="inlineStr">
        <is>
          <t>PMO</t>
        </is>
      </c>
      <c r="H2" s="4" t="inlineStr">
        <is>
          <t>Management</t>
        </is>
      </c>
    </row>
    <row r="3">
      <c r="A3" s="2" t="inlineStr">
        <is>
          <t>Register Order</t>
        </is>
      </c>
      <c r="B3" s="2" t="inlineStr">
        <is>
          <t>R/A</t>
        </is>
      </c>
      <c r="C3" s="2" t="inlineStr">
        <is>
          <t>I</t>
        </is>
      </c>
      <c r="D3" s="2" t="inlineStr"/>
      <c r="E3" s="2" t="inlineStr"/>
      <c r="F3" s="2" t="inlineStr"/>
      <c r="G3" s="2" t="inlineStr"/>
      <c r="H3" s="2" t="inlineStr"/>
    </row>
    <row r="4">
      <c r="A4" s="7" t="inlineStr">
        <is>
          <t>Initial Check</t>
        </is>
      </c>
      <c r="B4" s="7" t="inlineStr">
        <is>
          <t>R</t>
        </is>
      </c>
      <c r="C4" s="7" t="inlineStr">
        <is>
          <t>C</t>
        </is>
      </c>
      <c r="D4" s="7" t="inlineStr"/>
      <c r="E4" s="7" t="inlineStr"/>
      <c r="F4" s="7" t="inlineStr"/>
      <c r="G4" s="7" t="inlineStr">
        <is>
          <t>I</t>
        </is>
      </c>
      <c r="H4" s="7" t="inlineStr"/>
    </row>
    <row r="5">
      <c r="A5" s="2" t="inlineStr">
        <is>
          <t>Create Project</t>
        </is>
      </c>
      <c r="B5" s="2" t="inlineStr">
        <is>
          <t>I</t>
        </is>
      </c>
      <c r="C5" s="2" t="inlineStr">
        <is>
          <t>I</t>
        </is>
      </c>
      <c r="D5" s="2" t="inlineStr">
        <is>
          <t>I</t>
        </is>
      </c>
      <c r="E5" s="2" t="inlineStr">
        <is>
          <t>I</t>
        </is>
      </c>
      <c r="F5" s="2" t="inlineStr">
        <is>
          <t>I</t>
        </is>
      </c>
      <c r="G5" s="2" t="inlineStr">
        <is>
          <t>R/A</t>
        </is>
      </c>
      <c r="H5" s="2" t="inlineStr">
        <is>
          <t>I</t>
        </is>
      </c>
    </row>
    <row r="6">
      <c r="A6" s="7" t="inlineStr">
        <is>
          <t>Engineering + BOM</t>
        </is>
      </c>
      <c r="B6" s="7" t="inlineStr">
        <is>
          <t>C</t>
        </is>
      </c>
      <c r="C6" s="7" t="inlineStr">
        <is>
          <t>R/A</t>
        </is>
      </c>
      <c r="D6" s="7" t="inlineStr">
        <is>
          <t>C</t>
        </is>
      </c>
      <c r="E6" s="7" t="inlineStr">
        <is>
          <t>C</t>
        </is>
      </c>
      <c r="F6" s="7" t="inlineStr"/>
      <c r="G6" s="7" t="inlineStr">
        <is>
          <t>I</t>
        </is>
      </c>
      <c r="H6" s="7" t="inlineStr"/>
    </row>
    <row r="7">
      <c r="A7" s="2" t="inlineStr">
        <is>
          <t>BOM Approval</t>
        </is>
      </c>
      <c r="B7" s="2" t="inlineStr">
        <is>
          <t>I</t>
        </is>
      </c>
      <c r="C7" s="2" t="inlineStr">
        <is>
          <t>A</t>
        </is>
      </c>
      <c r="D7" s="2" t="inlineStr">
        <is>
          <t>C</t>
        </is>
      </c>
      <c r="E7" s="2" t="inlineStr">
        <is>
          <t>C</t>
        </is>
      </c>
      <c r="F7" s="2" t="inlineStr"/>
      <c r="G7" s="2" t="inlineStr">
        <is>
          <t>I</t>
        </is>
      </c>
      <c r="H7" s="2" t="inlineStr">
        <is>
          <t>I</t>
        </is>
      </c>
    </row>
    <row r="8">
      <c r="A8" s="7" t="inlineStr">
        <is>
          <t>Planning</t>
        </is>
      </c>
      <c r="B8" s="7" t="inlineStr">
        <is>
          <t>I</t>
        </is>
      </c>
      <c r="C8" s="7" t="inlineStr">
        <is>
          <t>C</t>
        </is>
      </c>
      <c r="D8" s="7" t="inlineStr">
        <is>
          <t>R/A</t>
        </is>
      </c>
      <c r="E8" s="7" t="inlineStr">
        <is>
          <t>I</t>
        </is>
      </c>
      <c r="F8" s="7" t="inlineStr"/>
      <c r="G8" s="7" t="inlineStr">
        <is>
          <t>I</t>
        </is>
      </c>
      <c r="H8" s="7" t="inlineStr"/>
    </row>
    <row r="9">
      <c r="A9" s="2" t="inlineStr">
        <is>
          <t>Scheduling</t>
        </is>
      </c>
      <c r="B9" s="2" t="inlineStr">
        <is>
          <t>I</t>
        </is>
      </c>
      <c r="C9" s="2" t="inlineStr">
        <is>
          <t>C</t>
        </is>
      </c>
      <c r="D9" s="2" t="inlineStr">
        <is>
          <t>R/A</t>
        </is>
      </c>
      <c r="E9" s="2" t="inlineStr">
        <is>
          <t>C</t>
        </is>
      </c>
      <c r="F9" s="2" t="inlineStr"/>
      <c r="G9" s="2" t="inlineStr">
        <is>
          <t>I</t>
        </is>
      </c>
      <c r="H9" s="2" t="inlineStr">
        <is>
          <t>I</t>
        </is>
      </c>
    </row>
    <row r="10">
      <c r="A10" s="7" t="inlineStr">
        <is>
          <t>Supplier Enquiry</t>
        </is>
      </c>
      <c r="B10" s="7" t="inlineStr"/>
      <c r="C10" s="7" t="inlineStr">
        <is>
          <t>C</t>
        </is>
      </c>
      <c r="D10" s="7" t="inlineStr">
        <is>
          <t>I</t>
        </is>
      </c>
      <c r="E10" s="7" t="inlineStr">
        <is>
          <t>R</t>
        </is>
      </c>
      <c r="F10" s="7" t="inlineStr">
        <is>
          <t>I</t>
        </is>
      </c>
      <c r="G10" s="7" t="inlineStr">
        <is>
          <t>I</t>
        </is>
      </c>
      <c r="H10" s="7" t="inlineStr"/>
    </row>
    <row r="11">
      <c r="A11" s="2" t="inlineStr">
        <is>
          <t>Supplier Selection</t>
        </is>
      </c>
      <c r="B11" s="2" t="inlineStr"/>
      <c r="C11" s="2" t="inlineStr">
        <is>
          <t>C</t>
        </is>
      </c>
      <c r="D11" s="2" t="inlineStr">
        <is>
          <t>I</t>
        </is>
      </c>
      <c r="E11" s="2" t="inlineStr">
        <is>
          <t>R/A</t>
        </is>
      </c>
      <c r="F11" s="2" t="inlineStr">
        <is>
          <t>C</t>
        </is>
      </c>
      <c r="G11" s="2" t="inlineStr">
        <is>
          <t>I</t>
        </is>
      </c>
      <c r="H11" s="2" t="inlineStr">
        <is>
          <t>I</t>
        </is>
      </c>
    </row>
    <row r="12">
      <c r="A12" s="7" t="inlineStr">
        <is>
          <t>Purchase Price Register</t>
        </is>
      </c>
      <c r="B12" s="7" t="inlineStr"/>
      <c r="C12" s="7" t="inlineStr">
        <is>
          <t>C</t>
        </is>
      </c>
      <c r="D12" s="7" t="inlineStr">
        <is>
          <t>I</t>
        </is>
      </c>
      <c r="E12" s="7" t="inlineStr">
        <is>
          <t>R</t>
        </is>
      </c>
      <c r="F12" s="7" t="inlineStr">
        <is>
          <t>I</t>
        </is>
      </c>
      <c r="G12" s="7" t="inlineStr">
        <is>
          <t>I</t>
        </is>
      </c>
      <c r="H12" s="7" t="inlineStr"/>
    </row>
    <row r="13">
      <c r="A13" s="2" t="inlineStr">
        <is>
          <t>Costing</t>
        </is>
      </c>
      <c r="B13" s="2" t="inlineStr">
        <is>
          <t>C</t>
        </is>
      </c>
      <c r="C13" s="2" t="inlineStr">
        <is>
          <t>C</t>
        </is>
      </c>
      <c r="D13" s="2" t="inlineStr">
        <is>
          <t>C</t>
        </is>
      </c>
      <c r="E13" s="2" t="inlineStr">
        <is>
          <t>C</t>
        </is>
      </c>
      <c r="F13" s="2" t="inlineStr">
        <is>
          <t>R/A</t>
        </is>
      </c>
      <c r="G13" s="2" t="inlineStr">
        <is>
          <t>I</t>
        </is>
      </c>
      <c r="H13" s="2" t="inlineStr">
        <is>
          <t>I</t>
        </is>
      </c>
    </row>
    <row r="14">
      <c r="A14" s="7" t="inlineStr">
        <is>
          <t>Budget</t>
        </is>
      </c>
      <c r="B14" s="7" t="inlineStr">
        <is>
          <t>I</t>
        </is>
      </c>
      <c r="C14" s="7" t="inlineStr">
        <is>
          <t>C</t>
        </is>
      </c>
      <c r="D14" s="7" t="inlineStr">
        <is>
          <t>C</t>
        </is>
      </c>
      <c r="E14" s="7" t="inlineStr">
        <is>
          <t>C</t>
        </is>
      </c>
      <c r="F14" s="7" t="inlineStr">
        <is>
          <t>R/A</t>
        </is>
      </c>
      <c r="G14" s="7" t="inlineStr">
        <is>
          <t>I</t>
        </is>
      </c>
      <c r="H14" s="7" t="inlineStr">
        <is>
          <t>I</t>
        </is>
      </c>
    </row>
    <row r="15">
      <c r="A15" s="2" t="inlineStr">
        <is>
          <t>Sales Quotation</t>
        </is>
      </c>
      <c r="B15" s="2" t="inlineStr">
        <is>
          <t>R/A</t>
        </is>
      </c>
      <c r="C15" s="2" t="inlineStr">
        <is>
          <t>C</t>
        </is>
      </c>
      <c r="D15" s="2" t="inlineStr">
        <is>
          <t>I</t>
        </is>
      </c>
      <c r="E15" s="2" t="inlineStr">
        <is>
          <t>C</t>
        </is>
      </c>
      <c r="F15" s="2" t="inlineStr">
        <is>
          <t>C</t>
        </is>
      </c>
      <c r="G15" s="2" t="inlineStr">
        <is>
          <t>I</t>
        </is>
      </c>
      <c r="H15" s="2" t="inlineStr">
        <is>
          <t>I</t>
        </is>
      </c>
    </row>
    <row r="16">
      <c r="A16" s="7" t="inlineStr">
        <is>
          <t>Payment Terms</t>
        </is>
      </c>
      <c r="B16" s="7" t="inlineStr">
        <is>
          <t>R</t>
        </is>
      </c>
      <c r="C16" s="7" t="inlineStr"/>
      <c r="D16" s="7" t="inlineStr"/>
      <c r="E16" s="7" t="inlineStr"/>
      <c r="F16" s="7" t="inlineStr">
        <is>
          <t>C</t>
        </is>
      </c>
      <c r="G16" s="7" t="inlineStr"/>
      <c r="H16" s="7" t="inlineStr">
        <is>
          <t>A</t>
        </is>
      </c>
    </row>
    <row r="17">
      <c r="A17" s="2" t="inlineStr">
        <is>
          <t>Management Decision</t>
        </is>
      </c>
      <c r="B17" s="2" t="inlineStr">
        <is>
          <t>I</t>
        </is>
      </c>
      <c r="C17" s="2" t="inlineStr">
        <is>
          <t>I</t>
        </is>
      </c>
      <c r="D17" s="2" t="inlineStr">
        <is>
          <t>I</t>
        </is>
      </c>
      <c r="E17" s="2" t="inlineStr">
        <is>
          <t>I</t>
        </is>
      </c>
      <c r="F17" s="2" t="inlineStr">
        <is>
          <t>I</t>
        </is>
      </c>
      <c r="G17" s="2" t="inlineStr">
        <is>
          <t>I</t>
        </is>
      </c>
      <c r="H17" s="2" t="inlineStr">
        <is>
          <t>R/A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dataValidations count="1">
    <dataValidation sqref="A3:A17" showDropDown="0" showInputMessage="0" showErrorMessage="1" allowBlank="1" errorTitle="Data Validation" error="مقدار خارج از فهرست مجاز است" promptTitle="Activity" prompt="انتخاب از فهرست مجاز برای Activity" type="list">
      <formula1>"Engineering,BOM Release,Procurement,Supplier Confirmation,Material Arrival,Production Planning,Production,QC,Packing,Delivery"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tabColor rgb="00A6A6A6"/>
    <outlinePr summaryBelow="1" summaryRight="1"/>
    <pageSetUpPr/>
  </sheetPr>
  <dimension ref="A1:I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1" customWidth="1" min="8" max="8"/>
    <col width="11" customWidth="1" min="9" max="9"/>
  </cols>
  <sheetData>
    <row r="1">
      <c r="A1" s="1" t="inlineStr">
        <is>
          <t>Workflow_History</t>
        </is>
      </c>
      <c r="B1" s="3" t="inlineStr">
        <is>
          <t>لاگ انتقال وضعیت — پایه Audit (چه کسی / چه زمانی / از چه وضعیتی / به چه وضعیتی).</t>
        </is>
      </c>
    </row>
    <row r="2">
      <c r="A2" s="4" t="inlineStr">
        <is>
          <t>Workflow_History_ID</t>
        </is>
      </c>
      <c r="B2" s="4" t="inlineStr">
        <is>
          <t>Project_ID</t>
        </is>
      </c>
      <c r="C2" s="4" t="inlineStr">
        <is>
          <t>Entity_Type</t>
        </is>
      </c>
      <c r="D2" s="4" t="inlineStr">
        <is>
          <t>Entity_ID</t>
        </is>
      </c>
      <c r="E2" s="4" t="inlineStr">
        <is>
          <t>From_Status</t>
        </is>
      </c>
      <c r="F2" s="4" t="inlineStr">
        <is>
          <t>To_Status</t>
        </is>
      </c>
      <c r="G2" s="4" t="inlineStr">
        <is>
          <t>Action_Date</t>
        </is>
      </c>
      <c r="H2" s="4" t="inlineStr">
        <is>
          <t>User_ID</t>
        </is>
      </c>
      <c r="I2" s="4" t="inlineStr">
        <is>
          <t>Comment</t>
        </is>
      </c>
    </row>
    <row r="3">
      <c r="A3" s="2" t="inlineStr">
        <is>
          <t>WFH-000001</t>
        </is>
      </c>
      <c r="B3" s="2" t="inlineStr">
        <is>
          <t>PRJ-2026-00125</t>
        </is>
      </c>
      <c r="C3" s="2" t="inlineStr">
        <is>
          <t>Order</t>
        </is>
      </c>
      <c r="D3" s="2" t="inlineStr">
        <is>
          <t>ORD-2026-00321</t>
        </is>
      </c>
      <c r="E3" s="2" t="inlineStr">
        <is>
          <t>Draft</t>
        </is>
      </c>
      <c r="F3" s="2" t="inlineStr">
        <is>
          <t>In Review</t>
        </is>
      </c>
      <c r="G3" s="10" t="n">
        <v>46285</v>
      </c>
      <c r="H3" s="2" t="inlineStr">
        <is>
          <t>USR-02</t>
        </is>
      </c>
      <c r="I3" s="2" t="inlineStr">
        <is>
          <t>ثبت سفارش</t>
        </is>
      </c>
    </row>
    <row r="4">
      <c r="A4" s="7" t="inlineStr">
        <is>
          <t>WFH-000002</t>
        </is>
      </c>
      <c r="B4" s="7" t="inlineStr">
        <is>
          <t>PRJ-2026-00125</t>
        </is>
      </c>
      <c r="C4" s="7" t="inlineStr">
        <is>
          <t>Order</t>
        </is>
      </c>
      <c r="D4" s="7" t="inlineStr">
        <is>
          <t>ORD-2026-00321</t>
        </is>
      </c>
      <c r="E4" s="7" t="inlineStr">
        <is>
          <t>In Review</t>
        </is>
      </c>
      <c r="F4" s="7" t="inlineStr">
        <is>
          <t>Approved</t>
        </is>
      </c>
      <c r="G4" s="13" t="n">
        <v>46286</v>
      </c>
      <c r="H4" s="7" t="inlineStr">
        <is>
          <t>USR-01</t>
        </is>
      </c>
      <c r="I4" s="7" t="inlineStr">
        <is>
          <t>کنترل اولیه تأیید شد</t>
        </is>
      </c>
    </row>
    <row r="5">
      <c r="A5" s="2" t="inlineStr">
        <is>
          <t>WFH-000003</t>
        </is>
      </c>
      <c r="B5" s="2" t="inlineStr">
        <is>
          <t>PRJ-2026-00125</t>
        </is>
      </c>
      <c r="C5" s="2" t="inlineStr">
        <is>
          <t>Project</t>
        </is>
      </c>
      <c r="D5" s="2" t="inlineStr">
        <is>
          <t>PRJ-2026-00125</t>
        </is>
      </c>
      <c r="E5" s="2" t="inlineStr">
        <is>
          <t>Draft</t>
        </is>
      </c>
      <c r="F5" s="2" t="inlineStr">
        <is>
          <t>Approved</t>
        </is>
      </c>
      <c r="G5" s="10" t="n">
        <v>46286</v>
      </c>
      <c r="H5" s="2" t="inlineStr">
        <is>
          <t>USR-03</t>
        </is>
      </c>
      <c r="I5" s="2" t="inlineStr">
        <is>
          <t>تأسیس پروژه</t>
        </is>
      </c>
    </row>
    <row r="6">
      <c r="A6" s="7" t="inlineStr">
        <is>
          <t>WFH-000004</t>
        </is>
      </c>
      <c r="B6" s="7" t="inlineStr">
        <is>
          <t>PRJ-2026-00125</t>
        </is>
      </c>
      <c r="C6" s="7" t="inlineStr">
        <is>
          <t>BOM</t>
        </is>
      </c>
      <c r="D6" s="7" t="inlineStr">
        <is>
          <t>BOM-000215-R05</t>
        </is>
      </c>
      <c r="E6" s="7" t="inlineStr">
        <is>
          <t>Waiting Approval</t>
        </is>
      </c>
      <c r="F6" s="7" t="inlineStr">
        <is>
          <t>Approved</t>
        </is>
      </c>
      <c r="G6" s="13" t="n">
        <v>46295</v>
      </c>
      <c r="H6" s="7" t="inlineStr">
        <is>
          <t>USR-04</t>
        </is>
      </c>
      <c r="I6" s="7" t="inlineStr">
        <is>
          <t>تأیید BOM R05</t>
        </is>
      </c>
    </row>
    <row r="7">
      <c r="A7" s="2" t="inlineStr">
        <is>
          <t>WFH-000005</t>
        </is>
      </c>
      <c r="B7" s="2" t="inlineStr">
        <is>
          <t>PRJ-2026-00125</t>
        </is>
      </c>
      <c r="C7" s="2" t="inlineStr">
        <is>
          <t>Quotation</t>
        </is>
      </c>
      <c r="D7" s="2" t="inlineStr">
        <is>
          <t>QUO-2026-00125</t>
        </is>
      </c>
      <c r="E7" s="2" t="inlineStr">
        <is>
          <t>Draft</t>
        </is>
      </c>
      <c r="F7" s="2" t="inlineStr">
        <is>
          <t>Submitted</t>
        </is>
      </c>
      <c r="G7" s="10" t="n">
        <v>46300</v>
      </c>
      <c r="H7" s="2" t="inlineStr">
        <is>
          <t>USR-01</t>
        </is>
      </c>
      <c r="I7" s="2" t="inlineStr">
        <is>
          <t>ارسال به مدیریت</t>
        </is>
      </c>
    </row>
    <row r="8">
      <c r="A8" s="7" t="inlineStr">
        <is>
          <t>WFH-000006</t>
        </is>
      </c>
      <c r="B8" s="7" t="inlineStr">
        <is>
          <t>PRJ-2026-00125</t>
        </is>
      </c>
      <c r="C8" s="7" t="inlineStr">
        <is>
          <t>Approval</t>
        </is>
      </c>
      <c r="D8" s="7" t="inlineStr">
        <is>
          <t>APR-000547</t>
        </is>
      </c>
      <c r="E8" s="7" t="inlineStr">
        <is>
          <t>Waiting Approval</t>
        </is>
      </c>
      <c r="F8" s="7" t="inlineStr">
        <is>
          <t>Approved</t>
        </is>
      </c>
      <c r="G8" s="13" t="n">
        <v>46302</v>
      </c>
      <c r="H8" s="7" t="inlineStr">
        <is>
          <t>USR-08</t>
        </is>
      </c>
      <c r="I8" s="7" t="inlineStr">
        <is>
          <t>تصویب مشروط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tabColor rgb="00A6A6A6"/>
    <outlinePr summaryBelow="1" summaryRight="1"/>
    <pageSetUpPr/>
  </sheetPr>
  <dimension ref="A1:M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2" customWidth="1" min="4" max="4"/>
    <col width="16" customWidth="1" min="5" max="5"/>
    <col width="12" customWidth="1" min="6" max="6"/>
    <col width="12" customWidth="1" min="7" max="7"/>
    <col width="16" customWidth="1" min="8" max="8"/>
    <col width="13" customWidth="1" min="9" max="9"/>
    <col width="14" customWidth="1" min="10" max="10"/>
    <col width="18" customWidth="1" min="11" max="11"/>
    <col width="14" customWidth="1" min="12" max="12"/>
    <col width="13" customWidth="1" min="13" max="13"/>
  </cols>
  <sheetData>
    <row r="1">
      <c r="A1" s="1" t="inlineStr">
        <is>
          <t>Change_Log</t>
        </is>
      </c>
      <c r="B1" s="3" t="inlineStr">
        <is>
          <t>کنترل تغییرات — هر تغییر پس از تأیید Revision جدید می‌سازد؛ مقدار قبلی ثبت می‌ماند.</t>
        </is>
      </c>
    </row>
    <row r="2">
      <c r="A2" s="4" t="inlineStr">
        <is>
          <t>Change_Log_ID</t>
        </is>
      </c>
      <c r="B2" s="4" t="inlineStr">
        <is>
          <t>Project_ID</t>
        </is>
      </c>
      <c r="C2" s="4" t="inlineStr">
        <is>
          <t>Entity_Type</t>
        </is>
      </c>
      <c r="D2" s="4" t="inlineStr">
        <is>
          <t>Entity_ID</t>
        </is>
      </c>
      <c r="E2" s="4" t="inlineStr">
        <is>
          <t>Field_Changed</t>
        </is>
      </c>
      <c r="F2" s="4" t="inlineStr">
        <is>
          <t>Old_Value</t>
        </is>
      </c>
      <c r="G2" s="4" t="inlineStr">
        <is>
          <t>New_Value</t>
        </is>
      </c>
      <c r="H2" s="4" t="inlineStr">
        <is>
          <t>Change_Reason</t>
        </is>
      </c>
      <c r="I2" s="4" t="inlineStr">
        <is>
          <t>Changed_By</t>
        </is>
      </c>
      <c r="J2" s="4" t="inlineStr">
        <is>
          <t>Change_Date</t>
        </is>
      </c>
      <c r="K2" s="4" t="inlineStr">
        <is>
          <t>Revision_After</t>
        </is>
      </c>
      <c r="L2" s="4" t="inlineStr">
        <is>
          <t>Create_Date</t>
        </is>
      </c>
      <c r="M2" s="4" t="inlineStr">
        <is>
          <t>Created_By</t>
        </is>
      </c>
    </row>
    <row r="3">
      <c r="A3" s="2" t="inlineStr">
        <is>
          <t>CHG-001245</t>
        </is>
      </c>
      <c r="B3" s="2" t="inlineStr">
        <is>
          <t>PRJ-2026-00125</t>
        </is>
      </c>
      <c r="C3" s="2" t="inlineStr">
        <is>
          <t>BOM</t>
        </is>
      </c>
      <c r="D3" s="2" t="inlineStr">
        <is>
          <t>BOM-000216</t>
        </is>
      </c>
      <c r="E3" s="2" t="inlineStr">
        <is>
          <t>Material</t>
        </is>
      </c>
      <c r="F3" s="5" t="inlineStr">
        <is>
          <t>MAT-001545</t>
        </is>
      </c>
      <c r="G3" s="5" t="inlineStr">
        <is>
          <t>MAT-001545</t>
        </is>
      </c>
      <c r="H3" s="2" t="inlineStr">
        <is>
          <t>تایید تامین‌کننده جدید مکانیکال سیل</t>
        </is>
      </c>
      <c r="I3" s="2" t="inlineStr">
        <is>
          <t>USR-04</t>
        </is>
      </c>
      <c r="J3" s="10" t="n">
        <v>46293</v>
      </c>
      <c r="K3" s="2" t="inlineStr">
        <is>
          <t>R05</t>
        </is>
      </c>
      <c r="L3" s="10" t="n">
        <v>46293</v>
      </c>
      <c r="M3" s="10" t="inlineStr">
        <is>
          <t>USR-04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tabColor rgb="00A6A6A6"/>
    <outlinePr summaryBelow="1" summaryRight="1"/>
    <pageSetUpPr/>
  </sheetPr>
  <dimension ref="A1:K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21" customWidth="1" min="4" max="4"/>
    <col width="11" customWidth="1" min="5" max="5"/>
    <col width="19" customWidth="1" min="6" max="6"/>
    <col width="11" customWidth="1" min="7" max="7"/>
    <col width="11" customWidth="1" min="8" max="8"/>
    <col width="14" customWidth="1" min="9" max="9"/>
    <col width="14" customWidth="1" min="10" max="10"/>
    <col width="13" customWidth="1" min="11" max="11"/>
  </cols>
  <sheetData>
    <row r="1">
      <c r="A1" s="1" t="inlineStr">
        <is>
          <t>Issues</t>
        </is>
      </c>
      <c r="B1" s="3" t="inlineStr">
        <is>
          <t>ثبت ریسک/خطا با مالک و اقدام لازم.</t>
        </is>
      </c>
    </row>
    <row r="2">
      <c r="A2" s="4" t="inlineStr">
        <is>
          <t>Issue_ID</t>
        </is>
      </c>
      <c r="B2" s="4" t="inlineStr">
        <is>
          <t>Project_ID</t>
        </is>
      </c>
      <c r="C2" s="4" t="inlineStr">
        <is>
          <t>Error_Code</t>
        </is>
      </c>
      <c r="D2" s="4" t="inlineStr">
        <is>
          <t>Error_Description</t>
        </is>
      </c>
      <c r="E2" s="4" t="inlineStr">
        <is>
          <t>Owner</t>
        </is>
      </c>
      <c r="F2" s="4" t="inlineStr">
        <is>
          <t>Required_Action</t>
        </is>
      </c>
      <c r="G2" s="4" t="inlineStr">
        <is>
          <t>Status</t>
        </is>
      </c>
      <c r="H2" s="4" t="inlineStr">
        <is>
          <t>Severity</t>
        </is>
      </c>
      <c r="I2" s="4" t="inlineStr">
        <is>
          <t>Raised_Date</t>
        </is>
      </c>
      <c r="J2" s="4" t="inlineStr">
        <is>
          <t>Create_Date</t>
        </is>
      </c>
      <c r="K2" s="4" t="inlineStr">
        <is>
          <t>Created_By</t>
        </is>
      </c>
    </row>
    <row r="3">
      <c r="A3" s="2" t="inlineStr">
        <is>
          <t>ISS-000215</t>
        </is>
      </c>
      <c r="B3" s="2" t="inlineStr">
        <is>
          <t>PRJ-2026-00125</t>
        </is>
      </c>
      <c r="C3" s="2" t="inlineStr">
        <is>
          <t>IG-02</t>
        </is>
      </c>
      <c r="D3" s="10" t="inlineStr">
        <is>
          <t>قیمت شفت (MAT-001547) در تاریخ ۱۵ اکتبر منقضی می‌شود؛ نیاز به تمدید</t>
        </is>
      </c>
      <c r="E3" s="2" t="inlineStr">
        <is>
          <t>USR-06</t>
        </is>
      </c>
      <c r="F3" s="2" t="inlineStr">
        <is>
          <t>استعلام مجدد قبل از ۱۰ اکتبر</t>
        </is>
      </c>
      <c r="G3" s="2" t="inlineStr">
        <is>
          <t>Open</t>
        </is>
      </c>
      <c r="H3" s="2" t="inlineStr">
        <is>
          <t>Medium</t>
        </is>
      </c>
      <c r="I3" s="10" t="n">
        <v>46287</v>
      </c>
      <c r="J3" s="10" t="n">
        <v>46287</v>
      </c>
      <c r="K3" s="10" t="inlineStr">
        <is>
          <t>USR-03</t>
        </is>
      </c>
    </row>
    <row r="4">
      <c r="A4" s="7" t="inlineStr">
        <is>
          <t>ISS-000216</t>
        </is>
      </c>
      <c r="B4" s="7" t="inlineStr"/>
      <c r="C4" s="7" t="inlineStr">
        <is>
          <t>E-001</t>
        </is>
      </c>
      <c r="D4" s="13" t="inlineStr">
        <is>
          <t>سفارش ORD-2026-00323 ناقص است (تاریخ تحویل و شرایط پرداخت ندارد)</t>
        </is>
      </c>
      <c r="E4" s="7" t="inlineStr">
        <is>
          <t>USR-02</t>
        </is>
      </c>
      <c r="F4" s="7" t="inlineStr">
        <is>
          <t>تکمیل اطلاعات سفارش قبل از ورود به مهندسی</t>
        </is>
      </c>
      <c r="G4" s="7" t="inlineStr">
        <is>
          <t>Open</t>
        </is>
      </c>
      <c r="H4" s="7" t="inlineStr">
        <is>
          <t>High</t>
        </is>
      </c>
      <c r="I4" s="13" t="n">
        <v>46287</v>
      </c>
      <c r="J4" s="13" t="n">
        <v>46287</v>
      </c>
      <c r="K4" s="13" t="inlineStr">
        <is>
          <t>USR-03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dataValidations count="2">
    <dataValidation sqref="G3:G4" showDropDown="0" showInputMessage="0" showErrorMessage="1" allowBlank="1" errorTitle="Data Validation" error="مقدار خارج از فهرست مجاز است" promptTitle="Status" prompt="انتخاب از فهرست مجاز برای Status" type="list">
      <formula1>"Draft,In Review,Waiting Approval,Approved,Rejected,Returned,Closed,Cancelled"</formula1>
    </dataValidation>
    <dataValidation sqref="H3:H4" showDropDown="0" showInputMessage="0" showErrorMessage="1" allowBlank="1" errorTitle="Data Validation" error="مقدار خارج از فهرست مجاز است" promptTitle="Severity" prompt="انتخاب از فهرست مجاز برای Severity" type="list">
      <formula1>"Low,Medium,High,Critical"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tabColor rgb="00A6A6A6"/>
    <outlinePr summaryBelow="1" summaryRight="1"/>
    <pageSetUpPr/>
  </sheetPr>
  <dimension ref="A1:K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1" customWidth="1" min="4" max="4"/>
    <col width="11" customWidth="1" min="5" max="5"/>
    <col width="18" customWidth="1" min="6" max="6"/>
    <col width="11" customWidth="1" min="7" max="7"/>
    <col width="19" customWidth="1" min="8" max="8"/>
    <col width="11" customWidth="1" min="9" max="9"/>
    <col width="14" customWidth="1" min="10" max="10"/>
    <col width="13" customWidth="1" min="11" max="11"/>
  </cols>
  <sheetData>
    <row r="1">
      <c r="A1" s="1" t="inlineStr">
        <is>
          <t>Error_Checks</t>
        </is>
      </c>
      <c r="B1" s="3" t="inlineStr">
        <is>
          <t>کنترل‌های خودکار (Error/Exception Handling). Formula_Result زنده محاسبه می‌شود.</t>
        </is>
      </c>
    </row>
    <row r="2">
      <c r="A2" s="4" t="inlineStr">
        <is>
          <t>Rule_Key</t>
        </is>
      </c>
      <c r="B2" s="4" t="inlineStr">
        <is>
          <t>Error_Code</t>
        </is>
      </c>
      <c r="C2" s="4" t="inlineStr">
        <is>
          <t>Check_Description</t>
        </is>
      </c>
      <c r="D2" s="4" t="inlineStr">
        <is>
          <t>Severity</t>
        </is>
      </c>
      <c r="E2" s="4" t="inlineStr">
        <is>
          <t>Owner</t>
        </is>
      </c>
      <c r="F2" s="4" t="inlineStr">
        <is>
          <t>Formula_Result</t>
        </is>
      </c>
      <c r="G2" s="4" t="inlineStr">
        <is>
          <t>Message</t>
        </is>
      </c>
      <c r="H2" s="4" t="inlineStr">
        <is>
          <t>Required_Action</t>
        </is>
      </c>
      <c r="I2" s="4" t="inlineStr">
        <is>
          <t>Status</t>
        </is>
      </c>
      <c r="J2" s="4" t="inlineStr">
        <is>
          <t>Create_Date</t>
        </is>
      </c>
      <c r="K2" s="4" t="inlineStr">
        <is>
          <t>Created_By</t>
        </is>
      </c>
    </row>
    <row r="3">
      <c r="A3" s="2" t="inlineStr">
        <is>
          <t>DK-01</t>
        </is>
      </c>
      <c r="B3" s="2" t="inlineStr">
        <is>
          <t>E-018</t>
        </is>
      </c>
      <c r="C3" s="10" t="inlineStr">
        <is>
          <t>Duplicate Order_ID</t>
        </is>
      </c>
      <c r="D3" s="2" t="inlineStr">
        <is>
          <t>Error</t>
        </is>
      </c>
      <c r="E3" s="2" t="inlineStr">
        <is>
          <t>Sales</t>
        </is>
      </c>
      <c r="F3" s="2">
        <f>IF(COUNTIF(Orders!$S$3:$S$1000,"DUP")&gt;0,"ERROR","OK")</f>
        <v/>
      </c>
      <c r="G3" s="2" t="inlineStr">
        <is>
          <t>شناسه سفارش تکراری است</t>
        </is>
      </c>
      <c r="H3" s="2" t="inlineStr">
        <is>
          <t>بررسی و اصلاح</t>
        </is>
      </c>
      <c r="I3" s="2" t="inlineStr">
        <is>
          <t>Open</t>
        </is>
      </c>
      <c r="J3" s="10" t="n">
        <v>46287</v>
      </c>
      <c r="K3" s="10" t="inlineStr">
        <is>
          <t>USR-09</t>
        </is>
      </c>
    </row>
    <row r="4">
      <c r="A4" s="7" t="inlineStr">
        <is>
          <t>G1</t>
        </is>
      </c>
      <c r="B4" s="7" t="inlineStr">
        <is>
          <t>E-001</t>
        </is>
      </c>
      <c r="C4" s="13" t="inlineStr">
        <is>
          <t>سفارش ناقص (Ready_Flag)</t>
        </is>
      </c>
      <c r="D4" s="7" t="inlineStr">
        <is>
          <t>Block</t>
        </is>
      </c>
      <c r="E4" s="7" t="inlineStr">
        <is>
          <t>Sales</t>
        </is>
      </c>
      <c r="F4" s="7">
        <f>IF(COUNTIF(Orders!$R$3:$R$5,"INCOMPLETE")&gt;0,"BLOCKED","OK")</f>
        <v/>
      </c>
      <c r="G4" s="7" t="inlineStr">
        <is>
          <t>هر سفارش باید Ready_Flag=READY باشد تا وارد مهندسی شود</t>
        </is>
      </c>
      <c r="H4" s="7" t="inlineStr">
        <is>
          <t>تکمیل اطلاعات</t>
        </is>
      </c>
      <c r="I4" s="7" t="inlineStr">
        <is>
          <t>Open</t>
        </is>
      </c>
      <c r="J4" s="13" t="n">
        <v>46287</v>
      </c>
      <c r="K4" s="13" t="inlineStr">
        <is>
          <t>USR-09</t>
        </is>
      </c>
    </row>
    <row r="5">
      <c r="A5" s="2" t="inlineStr">
        <is>
          <t>DK-02</t>
        </is>
      </c>
      <c r="B5" s="2" t="inlineStr">
        <is>
          <t>E-019</t>
        </is>
      </c>
      <c r="C5" s="10" t="inlineStr">
        <is>
          <t>Duplicate BOM_ID+Revision</t>
        </is>
      </c>
      <c r="D5" s="2" t="inlineStr">
        <is>
          <t>Error</t>
        </is>
      </c>
      <c r="E5" s="2" t="inlineStr">
        <is>
          <t>Engineering</t>
        </is>
      </c>
      <c r="F5" s="2">
        <f>IF(MAX(COUNTIFS(BOM_Header!$B$3:$B$5,BOM_Header!$B$3:$B$5,BOM_Header!$D$3:$D$5,BOM_Header!$D$3:$D$5))&gt;1,"ERROR","OK")</f>
        <v/>
      </c>
      <c r="G5" s="2" t="inlineStr">
        <is>
          <t>ترکیب BOM_ID+Revision تکراری است</t>
        </is>
      </c>
      <c r="H5" s="2" t="inlineStr">
        <is>
          <t>صدور Revision جدید</t>
        </is>
      </c>
      <c r="I5" s="2" t="inlineStr">
        <is>
          <t>Open</t>
        </is>
      </c>
      <c r="J5" s="10" t="n">
        <v>46287</v>
      </c>
      <c r="K5" s="10" t="inlineStr">
        <is>
          <t>USR-09</t>
        </is>
      </c>
    </row>
    <row r="6">
      <c r="A6" s="7" t="inlineStr">
        <is>
          <t>G2</t>
        </is>
      </c>
      <c r="B6" s="7" t="inlineStr">
        <is>
          <t>E-002</t>
        </is>
      </c>
      <c r="C6" s="13" t="inlineStr">
        <is>
          <t>BOM بدون Revision فعال</t>
        </is>
      </c>
      <c r="D6" s="7" t="inlineStr">
        <is>
          <t>Block</t>
        </is>
      </c>
      <c r="E6" s="7" t="inlineStr">
        <is>
          <t>Engineering</t>
        </is>
      </c>
      <c r="F6" s="7">
        <f>IF(COUNTIF(BOM_Header!$I$3:$I$5,"Approved")&gt;0,"OK","BLOCKED")</f>
        <v/>
      </c>
      <c r="G6" s="7" t="inlineStr">
        <is>
          <t>بدون BOM Revision تأییدشده نمی‌توان وارد Planning شد</t>
        </is>
      </c>
      <c r="H6" s="7" t="inlineStr">
        <is>
          <t>تأیید BOM</t>
        </is>
      </c>
      <c r="I6" s="7" t="inlineStr">
        <is>
          <t>Open</t>
        </is>
      </c>
      <c r="J6" s="13" t="n">
        <v>46287</v>
      </c>
      <c r="K6" s="13" t="inlineStr">
        <is>
          <t>USR-09</t>
        </is>
      </c>
    </row>
    <row r="7">
      <c r="A7" s="2" t="inlineStr">
        <is>
          <t>PX-01</t>
        </is>
      </c>
      <c r="B7" s="2" t="inlineStr">
        <is>
          <t>E-003</t>
        </is>
      </c>
      <c r="C7" s="10" t="inlineStr">
        <is>
          <t>قیمت خرید بدون تاریخ</t>
        </is>
      </c>
      <c r="D7" s="2" t="inlineStr">
        <is>
          <t>Error</t>
        </is>
      </c>
      <c r="E7" s="2" t="inlineStr">
        <is>
          <t>Procurement</t>
        </is>
      </c>
      <c r="F7" s="2">
        <f>IF(COUNTIF(Purchase_Prices!$E$3:$E$10,"")&gt;0,"ERROR","OK")</f>
        <v/>
      </c>
      <c r="G7" s="2" t="inlineStr">
        <is>
          <t>قیمتی بدون تاریخ وجود دارد</t>
        </is>
      </c>
      <c r="H7" s="2" t="inlineStr">
        <is>
          <t>ثبت Price_Date</t>
        </is>
      </c>
      <c r="I7" s="2" t="inlineStr">
        <is>
          <t>Open</t>
        </is>
      </c>
      <c r="J7" s="10" t="n">
        <v>46287</v>
      </c>
      <c r="K7" s="10" t="inlineStr">
        <is>
          <t>USR-09</t>
        </is>
      </c>
    </row>
    <row r="8">
      <c r="A8" s="7" t="inlineStr">
        <is>
          <t>PX-02</t>
        </is>
      </c>
      <c r="B8" s="7" t="inlineStr">
        <is>
          <t>E-004</t>
        </is>
      </c>
      <c r="C8" s="13" t="inlineStr">
        <is>
          <t>قیمت بدون منبع</t>
        </is>
      </c>
      <c r="D8" s="7" t="inlineStr">
        <is>
          <t>Error</t>
        </is>
      </c>
      <c r="E8" s="7" t="inlineStr">
        <is>
          <t>Procurement</t>
        </is>
      </c>
      <c r="F8" s="7">
        <f>IF(COUNTIF(Purchase_Prices!$F$3:$F$10,"")&gt;0,"ERROR","OK")</f>
        <v/>
      </c>
      <c r="G8" s="7" t="inlineStr">
        <is>
          <t>قیمتی بدون منبع وجود دارد</t>
        </is>
      </c>
      <c r="H8" s="7" t="inlineStr">
        <is>
          <t>ثبت Price_Source</t>
        </is>
      </c>
      <c r="I8" s="7" t="inlineStr">
        <is>
          <t>Open</t>
        </is>
      </c>
      <c r="J8" s="13" t="n">
        <v>46287</v>
      </c>
      <c r="K8" s="13" t="inlineStr">
        <is>
          <t>USR-09</t>
        </is>
      </c>
    </row>
    <row r="9">
      <c r="A9" s="2" t="inlineStr">
        <is>
          <t>PX-05</t>
        </is>
      </c>
      <c r="B9" s="2" t="inlineStr">
        <is>
          <t>E-010</t>
        </is>
      </c>
      <c r="C9" s="10" t="inlineStr">
        <is>
          <t>قیمت منقضی</t>
        </is>
      </c>
      <c r="D9" s="2" t="inlineStr">
        <is>
          <t>Warning</t>
        </is>
      </c>
      <c r="E9" s="2" t="inlineStr">
        <is>
          <t>Procurement</t>
        </is>
      </c>
      <c r="F9" s="2">
        <f>IF(COUNTIF(Purchase_Prices!$R$3:$R$10,1)&gt;0,"WARN","OK")</f>
        <v/>
      </c>
      <c r="G9" s="2" t="inlineStr">
        <is>
          <t>یک یا چند قیمت منقضی شده و از Costing کنار گذاشته می‌شود</t>
        </is>
      </c>
      <c r="H9" s="2" t="inlineStr">
        <is>
          <t>استعلام/تمدید قیمت</t>
        </is>
      </c>
      <c r="I9" s="2" t="inlineStr">
        <is>
          <t>Open</t>
        </is>
      </c>
      <c r="J9" s="10" t="n">
        <v>46287</v>
      </c>
      <c r="K9" s="10" t="inlineStr">
        <is>
          <t>USR-09</t>
        </is>
      </c>
    </row>
    <row r="10">
      <c r="A10" s="7" t="inlineStr">
        <is>
          <t>PX-03</t>
        </is>
      </c>
      <c r="B10" s="7" t="inlineStr">
        <is>
          <t>E-007</t>
        </is>
      </c>
      <c r="C10" s="13" t="inlineStr">
        <is>
          <t>قیمت منفی</t>
        </is>
      </c>
      <c r="D10" s="7" t="inlineStr">
        <is>
          <t>Error</t>
        </is>
      </c>
      <c r="E10" s="7" t="inlineStr">
        <is>
          <t>Finance</t>
        </is>
      </c>
      <c r="F10" s="7">
        <f>IF(COUNTIF(Purchase_Prices!$I$3:$I$10,"&lt;0")&gt;0,"ERROR","OK")</f>
        <v/>
      </c>
      <c r="G10" s="7" t="inlineStr">
        <is>
          <t>قیمت منفی ثبت شده است</t>
        </is>
      </c>
      <c r="H10" s="7" t="inlineStr">
        <is>
          <t>اصلاح قیمت</t>
        </is>
      </c>
      <c r="I10" s="7" t="inlineStr">
        <is>
          <t>Open</t>
        </is>
      </c>
      <c r="J10" s="13" t="n">
        <v>46287</v>
      </c>
      <c r="K10" s="13" t="inlineStr">
        <is>
          <t>USR-09</t>
        </is>
      </c>
    </row>
    <row r="11">
      <c r="A11" s="2" t="inlineStr">
        <is>
          <t>RV-01</t>
        </is>
      </c>
      <c r="B11" s="2" t="inlineStr">
        <is>
          <t>E-015</t>
        </is>
      </c>
      <c r="C11" s="10" t="inlineStr">
        <is>
          <t>تغییر پس از Approval</t>
        </is>
      </c>
      <c r="D11" s="2" t="inlineStr">
        <is>
          <t>Warning</t>
        </is>
      </c>
      <c r="E11" s="2" t="inlineStr">
        <is>
          <t>All</t>
        </is>
      </c>
      <c r="F11" s="2">
        <f>"تغییر فقط با Revision جدید (Create New Revision)"</f>
        <v/>
      </c>
      <c r="G11" s="2" t="inlineStr">
        <is>
          <t>رکورد تأییدشده نباید Overwrite شود</t>
        </is>
      </c>
      <c r="H11" s="2" t="inlineStr">
        <is>
          <t>ایجاد Revision</t>
        </is>
      </c>
      <c r="I11" s="2" t="inlineStr">
        <is>
          <t>Open</t>
        </is>
      </c>
      <c r="J11" s="10" t="n">
        <v>46287</v>
      </c>
      <c r="K11" s="10" t="inlineStr">
        <is>
          <t>USR-09</t>
        </is>
      </c>
    </row>
    <row r="12">
      <c r="A12" s="7" t="inlineStr">
        <is>
          <t>BM-01</t>
        </is>
      </c>
      <c r="B12" s="7" t="inlineStr">
        <is>
          <t>E-016</t>
        </is>
      </c>
      <c r="C12" s="13" t="inlineStr">
        <is>
          <t>BOM نسخه قدیمی موجود</t>
        </is>
      </c>
      <c r="D12" s="7" t="inlineStr">
        <is>
          <t>Info</t>
        </is>
      </c>
      <c r="E12" s="7" t="inlineStr">
        <is>
          <t>Engineering</t>
        </is>
      </c>
      <c r="F12" s="7">
        <f>IF(COUNTIF(BOM_Header!$J$3:$J$5,0)&gt;0,"INFO","OK")</f>
        <v/>
      </c>
      <c r="G12" s="7" t="inlineStr">
        <is>
          <t>BOM قدیمی (Superseded) موجود است؛ فقط نسخه فعال مصرف می‌شود</t>
        </is>
      </c>
      <c r="H12" s="7" t="inlineStr">
        <is>
          <t>اطمینان از استفاده نسخه فعال</t>
        </is>
      </c>
      <c r="I12" s="7" t="inlineStr">
        <is>
          <t>Open</t>
        </is>
      </c>
      <c r="J12" s="13" t="n">
        <v>46287</v>
      </c>
      <c r="K12" s="13" t="inlineStr">
        <is>
          <t>USR-09</t>
        </is>
      </c>
    </row>
    <row r="13">
      <c r="A13" s="2" t="inlineStr">
        <is>
          <t>SC-01</t>
        </is>
      </c>
      <c r="B13" s="2" t="inlineStr">
        <is>
          <t>E-011</t>
        </is>
      </c>
      <c r="C13" s="10" t="inlineStr">
        <is>
          <t>تأخیر فعالیت</t>
        </is>
      </c>
      <c r="D13" s="2" t="inlineStr">
        <is>
          <t>Warning</t>
        </is>
      </c>
      <c r="E13" s="2" t="inlineStr">
        <is>
          <t>PMO</t>
        </is>
      </c>
      <c r="F13" s="2">
        <f>IF(SUM(Schedule!$J$3:$J$20)&gt;0,"WARN","OK")</f>
        <v/>
      </c>
      <c r="G13" s="2" t="inlineStr">
        <is>
          <t>فعالیت معوق در زمان‌بندی وجود دارد</t>
        </is>
      </c>
      <c r="H13" s="2" t="inlineStr">
        <is>
          <t>بازبینی Schedule</t>
        </is>
      </c>
      <c r="I13" s="2" t="inlineStr">
        <is>
          <t>Open</t>
        </is>
      </c>
      <c r="J13" s="10" t="n">
        <v>46287</v>
      </c>
      <c r="K13" s="10" t="inlineStr">
        <is>
          <t>USR-09</t>
        </is>
      </c>
    </row>
    <row r="14">
      <c r="A14" s="7" t="inlineStr">
        <is>
          <t>BG-01</t>
        </is>
      </c>
      <c r="B14" s="7" t="inlineStr">
        <is>
          <t>E-013</t>
        </is>
      </c>
      <c r="C14" s="13" t="inlineStr">
        <is>
          <t>اختلاف بودجه و قیمت تمام‌شده</t>
        </is>
      </c>
      <c r="D14" s="7" t="inlineStr">
        <is>
          <t>Info</t>
        </is>
      </c>
      <c r="E14" s="7" t="inlineStr">
        <is>
          <t>Finance</t>
        </is>
      </c>
      <c r="F14" s="7">
        <f>IF(Budget!$S$3&lt;&gt;0,"DIFF","OK")</f>
        <v/>
      </c>
      <c r="G14" s="7" t="inlineStr">
        <is>
          <t>اختلاف بین بودجه و Actual ثبت شده است</t>
        </is>
      </c>
      <c r="H14" s="7" t="inlineStr">
        <is>
          <t>بازبینی Costing/Budget</t>
        </is>
      </c>
      <c r="I14" s="7" t="inlineStr">
        <is>
          <t>Open</t>
        </is>
      </c>
      <c r="J14" s="13" t="n">
        <v>46287</v>
      </c>
      <c r="K14" s="13" t="inlineStr">
        <is>
          <t>USR-09</t>
        </is>
      </c>
    </row>
    <row r="15">
      <c r="A15" s="2" t="inlineStr">
        <is>
          <t>CS-01</t>
        </is>
      </c>
      <c r="B15" s="2" t="inlineStr">
        <is>
          <t>E-021</t>
        </is>
      </c>
      <c r="C15" s="10" t="inlineStr">
        <is>
          <t>Costing ناقص</t>
        </is>
      </c>
      <c r="D15" s="2" t="inlineStr">
        <is>
          <t>Error</t>
        </is>
      </c>
      <c r="E15" s="2" t="inlineStr">
        <is>
          <t>Finance</t>
        </is>
      </c>
      <c r="F15" s="2">
        <f>IF(Costing!$Q$3=0,"ERROR","OK")</f>
        <v/>
      </c>
      <c r="G15" s="2" t="inlineStr">
        <is>
          <t>Total_Cost صفر است</t>
        </is>
      </c>
      <c r="H15" s="2" t="inlineStr">
        <is>
          <t>تکمیل ردیف‌های هزینه</t>
        </is>
      </c>
      <c r="I15" s="2" t="inlineStr">
        <is>
          <t>Open</t>
        </is>
      </c>
      <c r="J15" s="10" t="n">
        <v>46287</v>
      </c>
      <c r="K15" s="10" t="inlineStr">
        <is>
          <t>USR-09</t>
        </is>
      </c>
    </row>
    <row r="16">
      <c r="A16" s="7" t="inlineStr">
        <is>
          <t>SQ-02</t>
        </is>
      </c>
      <c r="B16" s="7" t="inlineStr">
        <is>
          <t>E-008</t>
        </is>
      </c>
      <c r="C16" s="13" t="inlineStr">
        <is>
          <t>Margin غیرمنطقی</t>
        </is>
      </c>
      <c r="D16" s="7" t="inlineStr">
        <is>
          <t>Warning</t>
        </is>
      </c>
      <c r="E16" s="7" t="inlineStr">
        <is>
          <t>Sales</t>
        </is>
      </c>
      <c r="F16" s="7">
        <f>IF(OR(COUNTIF(Sales_Quotation!$G$3:$G$10,"&lt;0")&gt;0,COUNTIF(Sales_Quotation!$G$3:$G$10,"&gt;0.35")&gt;0),"WARN","OK")</f>
        <v/>
      </c>
      <c r="G16" s="7" t="inlineStr">
        <is>
          <t>حاشیه سود منفی یا بالاتر از سقف منطقی است</t>
        </is>
      </c>
      <c r="H16" s="7" t="inlineStr">
        <is>
          <t>بازبینی سناریو</t>
        </is>
      </c>
      <c r="I16" s="7" t="inlineStr">
        <is>
          <t>Open</t>
        </is>
      </c>
      <c r="J16" s="13" t="n">
        <v>46287</v>
      </c>
      <c r="K16" s="13" t="inlineStr">
        <is>
          <t>USR-09</t>
        </is>
      </c>
    </row>
    <row r="17">
      <c r="A17" s="2" t="inlineStr">
        <is>
          <t>GT-01</t>
        </is>
      </c>
      <c r="B17" s="2" t="inlineStr">
        <is>
          <t>E-022</t>
        </is>
      </c>
      <c r="C17" s="10" t="inlineStr">
        <is>
          <t>گیت: امکان‌سنجی ناقص</t>
        </is>
      </c>
      <c r="D17" s="2" t="inlineStr">
        <is>
          <t>Block</t>
        </is>
      </c>
      <c r="E17" s="2" t="inlineStr">
        <is>
          <t>PMO</t>
        </is>
      </c>
      <c r="F17" s="2">
        <f>IF(COUNTIF(Feasibility!$M$3:$M$20,"INCOMPLETE")&gt;0,"BLOCKED","OK")</f>
        <v/>
      </c>
      <c r="G17" s="2" t="inlineStr">
        <is>
          <t>تا امکان‌سنجی کامل نشود، گیت مهندسی برای آن پروژه بسته است</t>
        </is>
      </c>
      <c r="H17" s="2" t="inlineStr">
        <is>
          <t>تکمیل امکان‌سنجی توسط مدیر پروژه</t>
        </is>
      </c>
      <c r="I17" s="2" t="inlineStr">
        <is>
          <t>Open</t>
        </is>
      </c>
      <c r="J17" s="10" t="n">
        <v>46287</v>
      </c>
      <c r="K17" s="10" t="inlineStr">
        <is>
          <t>USR-09</t>
        </is>
      </c>
    </row>
    <row r="18">
      <c r="A18" s="7" t="inlineStr">
        <is>
          <t>GT-02</t>
        </is>
      </c>
      <c r="B18" s="7" t="inlineStr">
        <is>
          <t>E-023</t>
        </is>
      </c>
      <c r="C18" s="13" t="inlineStr">
        <is>
          <t>گیت: تجهیزات قیمت‌دهی‌نشده</t>
        </is>
      </c>
      <c r="D18" s="7" t="inlineStr">
        <is>
          <t>Warning</t>
        </is>
      </c>
      <c r="E18" s="7" t="inlineStr">
        <is>
          <t>Procurement</t>
        </is>
      </c>
      <c r="F18" s="7">
        <f>IF(COUNTIF(Project_Equipment!$N$3:$N$20,"PENDING")&gt;0,"WARN","OK")</f>
        <v/>
      </c>
      <c r="G18" s="7" t="inlineStr">
        <is>
          <t>تجهیزاتی وجود دارد که بازرگانی هنوز قیمت آن‌ها را ثبت نکرده است</t>
        </is>
      </c>
      <c r="H18" s="7" t="inlineStr">
        <is>
          <t>قیمت‌دهی در Project_Equipment</t>
        </is>
      </c>
      <c r="I18" s="7" t="inlineStr">
        <is>
          <t>Open</t>
        </is>
      </c>
      <c r="J18" s="13" t="n">
        <v>46287</v>
      </c>
      <c r="K18" s="13" t="inlineStr">
        <is>
          <t>USR-09</t>
        </is>
      </c>
    </row>
    <row r="19">
      <c r="A19" s="2" t="inlineStr">
        <is>
          <t>GT-03</t>
        </is>
      </c>
      <c r="B19" s="2" t="inlineStr">
        <is>
          <t>E-024</t>
        </is>
      </c>
      <c r="C19" s="10" t="inlineStr">
        <is>
          <t>گیت: رسید انبار بدون ردیف برنامه‌ریزی</t>
        </is>
      </c>
      <c r="D19" s="2" t="inlineStr">
        <is>
          <t>Error</t>
        </is>
      </c>
      <c r="E19" s="2" t="inlineStr">
        <is>
          <t>Planning</t>
        </is>
      </c>
      <c r="F19" s="2">
        <f>IF(COUNTIF(Receipts!$C$3:$C$20,"")&gt;0,"ERROR","OK")</f>
        <v/>
      </c>
      <c r="G19" s="2" t="inlineStr">
        <is>
          <t>رسید انبار باید به ردیف معتبر برنامه‌ریزی (PLN) متصل باشد</t>
        </is>
      </c>
      <c r="H19" s="2" t="inlineStr">
        <is>
          <t>اصلاح Planning_ID</t>
        </is>
      </c>
      <c r="I19" s="2" t="inlineStr">
        <is>
          <t>Open</t>
        </is>
      </c>
      <c r="J19" s="10" t="n">
        <v>46287</v>
      </c>
      <c r="K19" s="10" t="inlineStr">
        <is>
          <t>USR-09</t>
        </is>
      </c>
    </row>
    <row r="20">
      <c r="A20" s="7" t="inlineStr">
        <is>
          <t>GT-04</t>
        </is>
      </c>
      <c r="B20" s="7" t="inlineStr">
        <is>
          <t>E-025</t>
        </is>
      </c>
      <c r="C20" s="13" t="inlineStr">
        <is>
          <t>گیت: جمع‌بندی گزارش‌نشده به ارشد</t>
        </is>
      </c>
      <c r="D20" s="7" t="inlineStr">
        <is>
          <t>Warning</t>
        </is>
      </c>
      <c r="E20" s="7" t="inlineStr">
        <is>
          <t>PMO</t>
        </is>
      </c>
      <c r="F20" s="7">
        <f>IF(COUNTIF(PMO_Summary!$J$3:$J$10,"NOT REPORTED")&gt;0,"WARN","OK")</f>
        <v/>
      </c>
      <c r="G20" s="7" t="inlineStr">
        <is>
          <t>پروژه‌هایی هنوز گزارش جمع‌بندی آن‌ها به مدیریت ارشد اعلام نشده است</t>
        </is>
      </c>
      <c r="H20" s="7" t="inlineStr">
        <is>
          <t>تکمیل PMO_Summary و ثبت تاریخ اعلام</t>
        </is>
      </c>
      <c r="I20" s="7" t="inlineStr">
        <is>
          <t>Open</t>
        </is>
      </c>
      <c r="J20" s="13" t="n">
        <v>46287</v>
      </c>
      <c r="K20" s="13" t="inlineStr">
        <is>
          <t>USR-09</t>
        </is>
      </c>
    </row>
    <row r="21">
      <c r="A21" s="2" t="inlineStr">
        <is>
          <t>GT-05</t>
        </is>
      </c>
      <c r="B21" s="2" t="inlineStr">
        <is>
          <t>E-026</t>
        </is>
      </c>
      <c r="C21" s="10" t="inlineStr">
        <is>
          <t>گیت: زمان‌سنجی ثبت‌نشده برای پروژه در حال مهندسی</t>
        </is>
      </c>
      <c r="D21" s="2" t="inlineStr">
        <is>
          <t>Block</t>
        </is>
      </c>
      <c r="E21" s="2" t="inlineStr">
        <is>
          <t>Engineering</t>
        </is>
      </c>
      <c r="F21" s="2">
        <f>IF(COUNTA(Time_Study!$A$3:$A$20)=0,"BLOCKED","OK")</f>
        <v/>
      </c>
      <c r="G21" s="2" t="inlineStr">
        <is>
          <t>بدون زمان‌سنجی، نفرساعت و دستمزد قابل محاسبه نیست</t>
        </is>
      </c>
      <c r="H21" s="2" t="inlineStr">
        <is>
          <t>ثبت عملیات در Time_Study</t>
        </is>
      </c>
      <c r="I21" s="2" t="inlineStr">
        <is>
          <t>Open</t>
        </is>
      </c>
      <c r="J21" s="10" t="n">
        <v>46287</v>
      </c>
      <c r="K21" s="10" t="inlineStr">
        <is>
          <t>USR-09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conditionalFormatting sqref="F3:F21">
    <cfRule type="cellIs" priority="1" operator="equal" dxfId="0">
      <formula>"OK"</formula>
    </cfRule>
    <cfRule type="cellIs" priority="2" operator="equal" dxfId="1">
      <formula>"ERROR"</formula>
    </cfRule>
  </conditionalFormatting>
  <dataValidations count="2">
    <dataValidation sqref="D3:D21" showDropDown="0" showInputMessage="0" showErrorMessage="1" allowBlank="1" errorTitle="Data Validation" error="مقدار خارج از فهرست مجاز است" promptTitle="Severity" prompt="انتخاب از فهرست مجاز برای Severity" type="list">
      <formula1>"Low,Medium,High,Critical"</formula1>
    </dataValidation>
    <dataValidation sqref="I3:I21" showDropDown="0" showInputMessage="0" showErrorMessage="1" allowBlank="1" errorTitle="Data Validation" error="مقدار خارج از فهرست مجاز است" promptTitle="Status" prompt="انتخاب از فهرست مجاز برای Status" type="list">
      <formula1>"Draft,In Review,Waiting Approval,Approved,Rejected,Returned,Closed,Cancelled"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tabColor rgb="00A6A6A6"/>
    <outlinePr summaryBelow="1" summaryRight="1"/>
    <pageSetUpPr/>
  </sheetPr>
  <dimension ref="A1:I2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9" customWidth="1" min="4" max="4"/>
    <col width="16" customWidth="1" min="5" max="5"/>
    <col width="12" customWidth="1" min="6" max="6"/>
    <col width="11" customWidth="1" min="7" max="7"/>
    <col width="16" customWidth="1" min="8" max="8"/>
    <col width="11" customWidth="1" min="9" max="9"/>
  </cols>
  <sheetData>
    <row r="1">
      <c r="A1" s="1" t="inlineStr">
        <is>
          <t>Test_Results</t>
        </is>
      </c>
      <c r="B1" s="3" t="inlineStr">
        <is>
          <t>نتایج ۱۵ تست اجباری؛ پس از اجرای راستی‌آزمایی، Actual_Result/Pass_Fail به‌روز می‌شوند.</t>
        </is>
      </c>
    </row>
    <row r="2">
      <c r="A2" s="4" t="inlineStr">
        <is>
          <t>Test_ID</t>
        </is>
      </c>
      <c r="B2" s="4" t="inlineStr">
        <is>
          <t>Test_Scenario</t>
        </is>
      </c>
      <c r="C2" s="4" t="inlineStr">
        <is>
          <t>Input</t>
        </is>
      </c>
      <c r="D2" s="4" t="inlineStr">
        <is>
          <t>Expected_Result</t>
        </is>
      </c>
      <c r="E2" s="4" t="inlineStr">
        <is>
          <t>Actual_Result</t>
        </is>
      </c>
      <c r="F2" s="4" t="inlineStr">
        <is>
          <t>Pass_Fail</t>
        </is>
      </c>
      <c r="G2" s="4" t="inlineStr">
        <is>
          <t>Issue</t>
        </is>
      </c>
      <c r="H2" s="4" t="inlineStr">
        <is>
          <t>Executed_Date</t>
        </is>
      </c>
      <c r="I2" s="4" t="inlineStr">
        <is>
          <t>By</t>
        </is>
      </c>
    </row>
    <row r="3">
      <c r="A3" s="2" t="inlineStr">
        <is>
          <t>T1</t>
        </is>
      </c>
      <c r="B3" s="2" t="inlineStr">
        <is>
          <t>سفارش کامل</t>
        </is>
      </c>
      <c r="C3" s="2" t="inlineStr">
        <is>
          <t>Order ORD-2026-00321 کامل</t>
        </is>
      </c>
      <c r="D3" s="2" t="inlineStr">
        <is>
          <t>Ready_Flag=READY و عبور تا Approval</t>
        </is>
      </c>
      <c r="E3" s="2" t="inlineStr">
        <is>
          <t>Ready=READY, Decision=APPROVED WITH CONDITION</t>
        </is>
      </c>
      <c r="F3" s="2" t="inlineStr">
        <is>
          <t>PASS</t>
        </is>
      </c>
      <c r="G3" s="2" t="inlineStr"/>
      <c r="H3" s="10" t="n">
        <v>46288</v>
      </c>
      <c r="I3" s="2" t="inlineStr">
        <is>
          <t>USR-09</t>
        </is>
      </c>
    </row>
    <row r="4">
      <c r="A4" s="7" t="inlineStr">
        <is>
          <t>T2</t>
        </is>
      </c>
      <c r="B4" s="7" t="inlineStr">
        <is>
          <t>اطلاعات ناقص</t>
        </is>
      </c>
      <c r="C4" s="7" t="inlineStr">
        <is>
          <t>Order بدون مقدار</t>
        </is>
      </c>
      <c r="D4" s="7" t="inlineStr">
        <is>
          <t>CO_02=MISSING + Ready=INCOMPLETE + Issue</t>
        </is>
      </c>
      <c r="E4" s="7" t="inlineStr">
        <is>
          <t>Ready=INCOMPLETE</t>
        </is>
      </c>
      <c r="F4" s="7" t="inlineStr">
        <is>
          <t>PASS</t>
        </is>
      </c>
      <c r="G4" s="7" t="inlineStr"/>
      <c r="H4" s="13" t="n">
        <v>46288</v>
      </c>
      <c r="I4" s="7" t="inlineStr">
        <is>
          <t>USR-09</t>
        </is>
      </c>
    </row>
    <row r="5">
      <c r="A5" s="2" t="inlineStr">
        <is>
          <t>T3</t>
        </is>
      </c>
      <c r="B5" s="2" t="inlineStr">
        <is>
          <t>BOM Revision جدید</t>
        </is>
      </c>
      <c r="C5" s="2" t="inlineStr">
        <is>
          <t>صدور R05 بالای R04</t>
        </is>
      </c>
      <c r="D5" s="2" t="inlineStr">
        <is>
          <t>R05 فعال و R04 حفظ شود</t>
        </is>
      </c>
      <c r="E5" s="2" t="inlineStr">
        <is>
          <t>R05@3, R04@4</t>
        </is>
      </c>
      <c r="F5" s="2" t="inlineStr">
        <is>
          <t>PASS</t>
        </is>
      </c>
      <c r="G5" s="2" t="inlineStr"/>
      <c r="H5" s="10" t="n">
        <v>46288</v>
      </c>
      <c r="I5" s="2" t="inlineStr">
        <is>
          <t>USR-09</t>
        </is>
      </c>
    </row>
    <row r="6">
      <c r="A6" s="7" t="inlineStr">
        <is>
          <t>T4</t>
        </is>
      </c>
      <c r="B6" s="7" t="inlineStr">
        <is>
          <t>تغییر قیمت تأمین‌کننده</t>
        </is>
      </c>
      <c r="C6" s="7" t="inlineStr">
        <is>
          <t>شفت R01→R02</t>
        </is>
      </c>
      <c r="D6" s="7" t="inlineStr">
        <is>
          <t>Landed جدید + Revision حفظ</t>
        </is>
      </c>
      <c r="E6" s="7" t="inlineStr">
        <is>
          <t>Landed=2450000.0</t>
        </is>
      </c>
      <c r="F6" s="7" t="inlineStr">
        <is>
          <t>PASS</t>
        </is>
      </c>
      <c r="G6" s="7" t="inlineStr"/>
      <c r="H6" s="13" t="n">
        <v>46288</v>
      </c>
      <c r="I6" s="7" t="inlineStr">
        <is>
          <t>USR-09</t>
        </is>
      </c>
    </row>
    <row r="7">
      <c r="A7" s="2" t="inlineStr">
        <is>
          <t>T5</t>
        </is>
      </c>
      <c r="B7" s="2" t="inlineStr">
        <is>
          <t>تغییر مقدار سفارش</t>
        </is>
      </c>
      <c r="C7" s="2" t="inlineStr">
        <is>
          <t>Qty 2→3</t>
        </is>
      </c>
      <c r="D7" s="2" t="inlineStr">
        <is>
          <t>Planning/نیاز مقیاس می‌شود</t>
        </is>
      </c>
      <c r="E7" s="2" t="inlineStr">
        <is>
          <t>378.0 → 567.0</t>
        </is>
      </c>
      <c r="F7" s="2" t="inlineStr">
        <is>
          <t>PASS</t>
        </is>
      </c>
      <c r="G7" s="2" t="inlineStr"/>
      <c r="H7" s="10" t="n">
        <v>46288</v>
      </c>
      <c r="I7" s="2" t="inlineStr">
        <is>
          <t>USR-09</t>
        </is>
      </c>
    </row>
    <row r="8">
      <c r="A8" s="7" t="inlineStr">
        <is>
          <t>T6</t>
        </is>
      </c>
      <c r="B8" s="7" t="inlineStr">
        <is>
          <t>تغییر شرایط پرداخت</t>
        </is>
      </c>
      <c r="C8" s="7" t="inlineStr">
        <is>
          <t>Credit 60→90</t>
        </is>
      </c>
      <c r="D8" s="7" t="inlineStr">
        <is>
          <t>Financial_Adjustment افزایش</t>
        </is>
      </c>
      <c r="E8" s="7" t="inlineStr">
        <is>
          <t>163435545.0 → 245153317.0</t>
        </is>
      </c>
      <c r="F8" s="7" t="inlineStr">
        <is>
          <t>PASS</t>
        </is>
      </c>
      <c r="G8" s="7" t="inlineStr"/>
      <c r="H8" s="13" t="n">
        <v>46288</v>
      </c>
      <c r="I8" s="7" t="inlineStr">
        <is>
          <t>USR-09</t>
        </is>
      </c>
    </row>
    <row r="9">
      <c r="A9" s="2" t="inlineStr">
        <is>
          <t>T7</t>
        </is>
      </c>
      <c r="B9" s="2" t="inlineStr">
        <is>
          <t>عودت مدیریت</t>
        </is>
      </c>
      <c r="C9" s="2" t="inlineStr">
        <is>
          <t>Decision=RETURN FOR REVISION</t>
        </is>
      </c>
      <c r="D9" s="2" t="inlineStr">
        <is>
          <t>Quotation=Returned + Issue</t>
        </is>
      </c>
      <c r="E9" s="2" t="inlineStr">
        <is>
          <t>Decision=RETURN FOR REVISION</t>
        </is>
      </c>
      <c r="F9" s="2" t="inlineStr">
        <is>
          <t>PASS</t>
        </is>
      </c>
      <c r="G9" s="2" t="inlineStr"/>
      <c r="H9" s="10" t="n">
        <v>46288</v>
      </c>
      <c r="I9" s="2" t="inlineStr">
        <is>
          <t>USR-09</t>
        </is>
      </c>
    </row>
    <row r="10">
      <c r="A10" s="7" t="inlineStr">
        <is>
          <t>T8</t>
        </is>
      </c>
      <c r="B10" s="7" t="inlineStr">
        <is>
          <t>رد پیشنهاد</t>
        </is>
      </c>
      <c r="C10" s="7" t="inlineStr">
        <is>
          <t>Decision=REJECTED</t>
        </is>
      </c>
      <c r="D10" s="7" t="inlineStr">
        <is>
          <t>Quotation=Rejected/Closed</t>
        </is>
      </c>
      <c r="E10" s="7" t="inlineStr">
        <is>
          <t>Decision=REJECTED</t>
        </is>
      </c>
      <c r="F10" s="7" t="inlineStr">
        <is>
          <t>PASS</t>
        </is>
      </c>
      <c r="G10" s="7" t="inlineStr"/>
      <c r="H10" s="13" t="n">
        <v>46288</v>
      </c>
      <c r="I10" s="7" t="inlineStr">
        <is>
          <t>USR-09</t>
        </is>
      </c>
    </row>
    <row r="11">
      <c r="A11" s="2" t="inlineStr">
        <is>
          <t>T9</t>
        </is>
      </c>
      <c r="B11" s="2" t="inlineStr">
        <is>
          <t>تصویب پیشنهاد</t>
        </is>
      </c>
      <c r="C11" s="2" t="inlineStr">
        <is>
          <t>Decision=APPROVED</t>
        </is>
      </c>
      <c r="D11" s="2" t="inlineStr">
        <is>
          <t>APPROVED + Workflow_History</t>
        </is>
      </c>
      <c r="E11" s="2" t="inlineStr">
        <is>
          <t>Decision=APPROVED</t>
        </is>
      </c>
      <c r="F11" s="2" t="inlineStr">
        <is>
          <t>PASS</t>
        </is>
      </c>
      <c r="G11" s="2" t="inlineStr"/>
      <c r="H11" s="10" t="n">
        <v>46288</v>
      </c>
      <c r="I11" s="2" t="inlineStr">
        <is>
          <t>USR-09</t>
        </is>
      </c>
    </row>
    <row r="12">
      <c r="A12" s="7" t="inlineStr">
        <is>
          <t>T10</t>
        </is>
      </c>
      <c r="B12" s="7" t="inlineStr">
        <is>
          <t>تغییر بعد از Approval</t>
        </is>
      </c>
      <c r="C12" s="7" t="inlineStr">
        <is>
          <t>تغییر Qty پس از APPROVED</t>
        </is>
      </c>
      <c r="D12" s="7" t="inlineStr">
        <is>
          <t>Revision جدید + Approval قبلی حفظ</t>
        </is>
      </c>
      <c r="E12" s="7" t="inlineStr">
        <is>
          <t>Change_Log رکورد: 3</t>
        </is>
      </c>
      <c r="F12" s="7" t="inlineStr">
        <is>
          <t>PASS</t>
        </is>
      </c>
      <c r="G12" s="7" t="inlineStr"/>
      <c r="H12" s="13" t="n">
        <v>46288</v>
      </c>
      <c r="I12" s="7" t="inlineStr">
        <is>
          <t>USR-09</t>
        </is>
      </c>
    </row>
    <row r="13">
      <c r="A13" s="2" t="inlineStr">
        <is>
          <t>T11</t>
        </is>
      </c>
      <c r="B13" s="2" t="inlineStr">
        <is>
          <t>قیمت منقضی</t>
        </is>
      </c>
      <c r="C13" s="2" t="inlineStr">
        <is>
          <t>Valid_To &lt; امروز</t>
        </is>
      </c>
      <c r="D13" s="2" t="inlineStr">
        <is>
          <t>Expired_Flag=1 و حذف از Costing</t>
        </is>
      </c>
      <c r="E13" s="2" t="inlineStr">
        <is>
          <t>Flag=1.0, Shaft_Unit=2450000.0</t>
        </is>
      </c>
      <c r="F13" s="2" t="inlineStr">
        <is>
          <t>PASS</t>
        </is>
      </c>
      <c r="G13" s="2" t="inlineStr"/>
      <c r="H13" s="10" t="n">
        <v>46288</v>
      </c>
      <c r="I13" s="2" t="inlineStr">
        <is>
          <t>USR-09</t>
        </is>
      </c>
    </row>
    <row r="14">
      <c r="A14" s="7" t="inlineStr">
        <is>
          <t>T12</t>
        </is>
      </c>
      <c r="B14" s="7" t="inlineStr">
        <is>
          <t>تأخیر تأمین‌کننده</t>
        </is>
      </c>
      <c r="C14" s="7" t="inlineStr">
        <is>
          <t>Arrival بعد از برنامه</t>
        </is>
      </c>
      <c r="D14" s="7" t="inlineStr">
        <is>
          <t>Schedule.Delay&gt;0 / Issue</t>
        </is>
      </c>
      <c r="E14" s="7" t="inlineStr">
        <is>
          <t>تأخیرها: [(13, 21.0)]</t>
        </is>
      </c>
      <c r="F14" s="7" t="inlineStr">
        <is>
          <t>PASS</t>
        </is>
      </c>
      <c r="G14" s="7" t="inlineStr"/>
      <c r="H14" s="13" t="n">
        <v>46288</v>
      </c>
      <c r="I14" s="7" t="inlineStr">
        <is>
          <t>USR-09</t>
        </is>
      </c>
    </row>
    <row r="15">
      <c r="A15" s="2" t="inlineStr">
        <is>
          <t>T13</t>
        </is>
      </c>
      <c r="B15" s="2" t="inlineStr">
        <is>
          <t>اختلاف بودجه/هزینه</t>
        </is>
      </c>
      <c r="C15" s="2" t="inlineStr">
        <is>
          <t>Actual≠Budget</t>
        </is>
      </c>
      <c r="D15" s="2" t="inlineStr">
        <is>
          <t>Variance مشخص شود</t>
        </is>
      </c>
      <c r="E15" s="2" t="inlineStr">
        <is>
          <t>Variance=3529752475.0</t>
        </is>
      </c>
      <c r="F15" s="2" t="inlineStr">
        <is>
          <t>PASS</t>
        </is>
      </c>
      <c r="G15" s="2" t="inlineStr"/>
      <c r="H15" s="10" t="n">
        <v>46288</v>
      </c>
      <c r="I15" s="2" t="inlineStr">
        <is>
          <t>USR-09</t>
        </is>
      </c>
    </row>
    <row r="16">
      <c r="A16" s="7" t="inlineStr">
        <is>
          <t>T14</t>
        </is>
      </c>
      <c r="B16" s="7" t="inlineStr">
        <is>
          <t>Duplicate Order</t>
        </is>
      </c>
      <c r="C16" s="7" t="inlineStr">
        <is>
          <t>Order_ID تکراری</t>
        </is>
      </c>
      <c r="D16" s="7" t="inlineStr">
        <is>
          <t>Error E-018</t>
        </is>
      </c>
      <c r="E16" s="7" t="inlineStr">
        <is>
          <t>DK-01 = 'ERROR'</t>
        </is>
      </c>
      <c r="F16" s="7" t="inlineStr">
        <is>
          <t>PASS</t>
        </is>
      </c>
      <c r="G16" s="7" t="inlineStr"/>
      <c r="H16" s="13" t="n">
        <v>46288</v>
      </c>
      <c r="I16" s="7" t="inlineStr">
        <is>
          <t>USR-09</t>
        </is>
      </c>
    </row>
    <row r="17">
      <c r="A17" s="2" t="inlineStr">
        <is>
          <t>T15</t>
        </is>
      </c>
      <c r="B17" s="2" t="inlineStr">
        <is>
          <t>تغییر BOM بعد از Costing</t>
        </is>
      </c>
      <c r="C17" s="2" t="inlineStr">
        <is>
          <t>BOM Revision جدید</t>
        </is>
      </c>
      <c r="D17" s="2" t="inlineStr">
        <is>
          <t>Costing مجدد لازم + نسخه قبل حفظ</t>
        </is>
      </c>
      <c r="E17" s="2" t="inlineStr">
        <is>
          <t>Revisions=['R04', 'R05'], Change_Log=yes</t>
        </is>
      </c>
      <c r="F17" s="2" t="inlineStr">
        <is>
          <t>PASS</t>
        </is>
      </c>
      <c r="G17" s="2" t="inlineStr"/>
      <c r="H17" s="10" t="n">
        <v>46288</v>
      </c>
      <c r="I17" s="2" t="inlineStr">
        <is>
          <t>USR-09</t>
        </is>
      </c>
    </row>
    <row r="18">
      <c r="A18" s="7" t="inlineStr">
        <is>
          <t>T16</t>
        </is>
      </c>
      <c r="B18" s="7" t="inlineStr">
        <is>
          <t>گیت امکان‌سنجی</t>
        </is>
      </c>
      <c r="C18" s="7" t="inlineStr">
        <is>
          <t>حذف امتیاز از امکان‌سنجی پروژه</t>
        </is>
      </c>
      <c r="D18" s="7" t="inlineStr">
        <is>
          <t>قفل گیت مهندسی (ورود اطلاعات مهندسی مجاز نیست)</t>
        </is>
      </c>
      <c r="E18" s="7" t="inlineStr">
        <is>
          <t>before G_Eng=1.0, after S2=0.0 G_Eng=0.0 G_Com=0.0</t>
        </is>
      </c>
      <c r="F18" s="7" t="inlineStr">
        <is>
          <t>PASS</t>
        </is>
      </c>
      <c r="G18" s="7" t="inlineStr"/>
      <c r="H18" s="13" t="n">
        <v>46288</v>
      </c>
      <c r="I18" s="7" t="inlineStr">
        <is>
          <t>USR-09</t>
        </is>
      </c>
    </row>
    <row r="19">
      <c r="A19" s="2" t="inlineStr">
        <is>
          <t>T17</t>
        </is>
      </c>
      <c r="B19" s="2" t="inlineStr">
        <is>
          <t>گیت بازرگانی</t>
        </is>
      </c>
      <c r="C19" s="2" t="inlineStr">
        <is>
          <t>پروژه فاقد زنجیره کامل (امکان‌سنجی ناقص)</t>
        </is>
      </c>
      <c r="D19" s="2" t="inlineStr">
        <is>
          <t>تجهیزات پروژه قابل قیمت‌دهی نیست (گیت بازرگانی بسته)</t>
        </is>
      </c>
      <c r="E19" s="2" t="inlineStr">
        <is>
          <t>G_Com=0.0, PEQ-000003=PENDING</t>
        </is>
      </c>
      <c r="F19" s="2" t="inlineStr">
        <is>
          <t>PASS</t>
        </is>
      </c>
      <c r="G19" s="2" t="inlineStr"/>
      <c r="H19" s="10" t="n">
        <v>46288</v>
      </c>
      <c r="I19" s="2" t="inlineStr">
        <is>
          <t>USR-09</t>
        </is>
      </c>
    </row>
    <row r="20">
      <c r="A20" s="7" t="inlineStr">
        <is>
          <t>T18</t>
        </is>
      </c>
      <c r="B20" s="7" t="inlineStr">
        <is>
          <t>زنجیره نفرساعت</t>
        </is>
      </c>
      <c r="C20" s="7" t="inlineStr">
        <is>
          <t>افزایش زمان استاندارد عملیات در زمان‌سنجی</t>
        </is>
      </c>
      <c r="D20" s="7" t="inlineStr">
        <is>
          <t>دستمزد مستقیم در قیمت تمام‌شده افزایش می‌یابد</t>
        </is>
      </c>
      <c r="E20" s="7" t="inlineStr">
        <is>
          <t>Labor 1,005,600,000 → 1,015,800,000 (Δ=10,200,000)</t>
        </is>
      </c>
      <c r="F20" s="7" t="inlineStr">
        <is>
          <t>PASS</t>
        </is>
      </c>
      <c r="G20" s="7" t="inlineStr"/>
      <c r="H20" s="13" t="n">
        <v>46288</v>
      </c>
      <c r="I20" s="7" t="inlineStr">
        <is>
          <t>USR-09</t>
        </is>
      </c>
    </row>
    <row r="21">
      <c r="A21" s="2" t="inlineStr">
        <is>
          <t>T19</t>
        </is>
      </c>
      <c r="B21" s="2" t="inlineStr">
        <is>
          <t>نرخ ارز اقلام وارداتی</t>
        </is>
      </c>
      <c r="C21" s="2" t="inlineStr">
        <is>
          <t>تغییر نرخ ارز در Settings</t>
        </is>
      </c>
      <c r="D21" s="2" t="inlineStr">
        <is>
          <t>قیمت ریالی تجهیزات/اقلام وارداتی به‌روز می‌شود</t>
        </is>
      </c>
      <c r="E21" s="2" t="inlineStr">
        <is>
          <t>6,250,000,000 → 7,500,000,000</t>
        </is>
      </c>
      <c r="F21" s="2" t="inlineStr">
        <is>
          <t>PASS</t>
        </is>
      </c>
      <c r="G21" s="2" t="inlineStr"/>
      <c r="H21" s="10" t="n">
        <v>46288</v>
      </c>
      <c r="I21" s="2" t="inlineStr">
        <is>
          <t>USR-09</t>
        </is>
      </c>
    </row>
    <row r="22">
      <c r="A22" s="7" t="inlineStr">
        <is>
          <t>T20</t>
        </is>
      </c>
      <c r="B22" s="7" t="inlineStr">
        <is>
          <t>گیت جمع‌بندی/تصمیم</t>
        </is>
      </c>
      <c r="C22" s="7" t="inlineStr">
        <is>
          <t>حذف تاریخ اعلام گزارش به ارشد</t>
        </is>
      </c>
      <c r="D22" s="7" t="inlineStr">
        <is>
          <t>گیت تصمیم مدیریت ارشد بسته می‌شود</t>
        </is>
      </c>
      <c r="E22" s="7" t="inlineStr">
        <is>
          <t>before G_Senior=1.0, after S8=0.0 G_Senior=0.0</t>
        </is>
      </c>
      <c r="F22" s="7" t="inlineStr">
        <is>
          <t>PASS</t>
        </is>
      </c>
      <c r="G22" s="7" t="inlineStr"/>
      <c r="H22" s="13" t="n">
        <v>46288</v>
      </c>
      <c r="I22" s="7" t="inlineStr">
        <is>
          <t>USR-09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>
    <tabColor rgb="00A6A6A6"/>
    <outlinePr summaryBelow="1" summaryRight="1"/>
    <pageSetUpPr/>
  </sheetPr>
  <dimension ref="A1:D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_Trace — ردیابی قیمت نهایی تا منبع (Selling Price ← Cost ← BOM ← Material ← Supplier Quote ← Supplier)</t>
        </is>
      </c>
    </row>
    <row r="2">
      <c r="A2" t="inlineStr">
        <is>
          <t>سطح</t>
        </is>
      </c>
      <c r="B2" t="inlineStr">
        <is>
          <t>عنصر</t>
        </is>
      </c>
      <c r="C2" t="inlineStr">
        <is>
          <t>مرجع</t>
        </is>
      </c>
      <c r="D2" t="inlineStr">
        <is>
          <t>مبلغ/مقدار (IRR)</t>
        </is>
      </c>
    </row>
    <row r="3">
      <c r="A3" s="2" t="inlineStr">
        <is>
          <t>Quotation</t>
        </is>
      </c>
      <c r="B3" s="2" t="inlineStr">
        <is>
          <t>Proposed Selling Price (Scenario B)</t>
        </is>
      </c>
      <c r="C3" s="2" t="inlineStr">
        <is>
          <t>Service</t>
        </is>
      </c>
      <c r="D3" s="2">
        <f>Sales_Quotation!L4</f>
        <v/>
      </c>
    </row>
    <row r="4">
      <c r="A4" s="2" t="inlineStr">
        <is>
          <t>Quotation</t>
        </is>
      </c>
      <c r="B4" s="2" t="inlineStr">
        <is>
          <t>Margin Amount</t>
        </is>
      </c>
      <c r="C4" s="2" t="inlineStr">
        <is>
          <t>Service</t>
        </is>
      </c>
      <c r="D4" s="2">
        <f>Sales_Quotation!H4</f>
        <v/>
      </c>
    </row>
    <row r="5">
      <c r="A5" s="2" t="inlineStr">
        <is>
          <t>Quotation</t>
        </is>
      </c>
      <c r="B5" s="2" t="inlineStr">
        <is>
          <t>Total Cost</t>
        </is>
      </c>
      <c r="C5" s="2" t="inlineStr">
        <is>
          <t>Service</t>
        </is>
      </c>
      <c r="D5" s="2">
        <f>Sales_Quotation!F4</f>
        <v/>
      </c>
    </row>
    <row r="6">
      <c r="A6" s="2" t="inlineStr">
        <is>
          <t>Costing</t>
        </is>
      </c>
      <c r="B6" s="2" t="inlineStr">
        <is>
          <t>Direct Material</t>
        </is>
      </c>
      <c r="C6" s="2" t="inlineStr">
        <is>
          <t>Service</t>
        </is>
      </c>
      <c r="D6" s="2">
        <f>Costing!G3</f>
        <v/>
      </c>
    </row>
    <row r="7">
      <c r="A7" s="2" t="inlineStr">
        <is>
          <t>Costing</t>
        </is>
      </c>
      <c r="B7" s="2" t="inlineStr">
        <is>
          <t>Purchased Parts</t>
        </is>
      </c>
      <c r="C7" s="2" t="inlineStr">
        <is>
          <t>Service</t>
        </is>
      </c>
      <c r="D7" s="2">
        <f>Costing!H3</f>
        <v/>
      </c>
    </row>
    <row r="8">
      <c r="A8" s="2" t="inlineStr">
        <is>
          <t>Costing</t>
        </is>
      </c>
      <c r="B8" s="2" t="inlineStr">
        <is>
          <t>Direct Labor</t>
        </is>
      </c>
      <c r="C8" s="2" t="inlineStr">
        <is>
          <t>Service</t>
        </is>
      </c>
      <c r="D8" s="2">
        <f>Costing!I3</f>
        <v/>
      </c>
    </row>
    <row r="9">
      <c r="A9" s="2" t="inlineStr">
        <is>
          <t>Costing</t>
        </is>
      </c>
      <c r="B9" s="2" t="inlineStr">
        <is>
          <t>Manufacturing Overhead</t>
        </is>
      </c>
      <c r="C9" s="2" t="inlineStr">
        <is>
          <t>Service</t>
        </is>
      </c>
      <c r="D9" s="2">
        <f>Costing!J3</f>
        <v/>
      </c>
    </row>
    <row r="10">
      <c r="A10" s="2" t="inlineStr">
        <is>
          <t>Costing</t>
        </is>
      </c>
      <c r="B10" s="2" t="inlineStr">
        <is>
          <t>Scrap</t>
        </is>
      </c>
      <c r="C10" s="2" t="inlineStr">
        <is>
          <t>Service</t>
        </is>
      </c>
      <c r="D10" s="2">
        <f>Costing!K3</f>
        <v/>
      </c>
    </row>
    <row r="11">
      <c r="A11" s="2" t="inlineStr">
        <is>
          <t>Costing</t>
        </is>
      </c>
      <c r="B11" s="2" t="inlineStr">
        <is>
          <t>Packaging</t>
        </is>
      </c>
      <c r="C11" s="2" t="inlineStr">
        <is>
          <t>Service</t>
        </is>
      </c>
      <c r="D11" s="2">
        <f>Costing!L3</f>
        <v/>
      </c>
    </row>
    <row r="12">
      <c r="A12" s="2" t="inlineStr">
        <is>
          <t>Costing</t>
        </is>
      </c>
      <c r="B12" s="2" t="inlineStr">
        <is>
          <t>Logistics + Tooling + SG&amp;A</t>
        </is>
      </c>
      <c r="C12" s="2" t="inlineStr">
        <is>
          <t>Service</t>
        </is>
      </c>
      <c r="D12" s="2">
        <f>Costing!M3+Costing!N3+Costing!O3</f>
        <v/>
      </c>
    </row>
    <row r="13">
      <c r="A13" s="2" t="inlineStr">
        <is>
          <t>BOM</t>
        </is>
      </c>
      <c r="B13" s="2" t="inlineStr">
        <is>
          <t>BOM فعال پروژه</t>
        </is>
      </c>
      <c r="C13" s="2" t="inlineStr">
        <is>
          <t>Service</t>
        </is>
      </c>
      <c r="D13" s="2">
        <f>XLOOKUP("PRV-000125-R03",BOM_Header!$C$3:$C$10,BOM_Header!$A$3:$A$10,"؟")</f>
        <v/>
      </c>
    </row>
    <row r="14">
      <c r="A14" s="2" t="inlineStr">
        <is>
          <t>Material</t>
        </is>
      </c>
      <c r="B14" s="2" t="inlineStr">
        <is>
          <t>مکانیکال سیل MAT-001545 (نمونه)</t>
        </is>
      </c>
      <c r="C14" s="2" t="inlineStr">
        <is>
          <t>Service</t>
        </is>
      </c>
      <c r="D14" s="2">
        <f>XLOOKUP("MAT-001545",Materials!$A$3:$A$10,Materials!$C$3:$C$10,"؟")</f>
        <v/>
      </c>
    </row>
    <row r="15">
      <c r="A15" s="2" t="inlineStr">
        <is>
          <t>Supplier Quote</t>
        </is>
      </c>
      <c r="B15" s="2" t="inlineStr">
        <is>
          <t>۳ تأمین‌کننده سیل (مقایسه)</t>
        </is>
      </c>
      <c r="C15" s="2" t="inlineStr">
        <is>
          <t>Service</t>
        </is>
      </c>
      <c r="D15" s="2">
        <f>XLOOKUP("SQT-2026-00545",Supplier_Quote_Lines!$B$3:$B$20,Supplier_Quote_Lines!$D$3:$D$20,"؟")</f>
        <v/>
      </c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inlineStr">
        <is>
          <t>مسیر کامل: Final Price → Costing → Cost_Line → Material → BOM → Supplier Quote → Supplier</t>
        </is>
      </c>
      <c r="B18" s="2" t="n"/>
      <c r="C18" s="2" t="n"/>
      <c r="D18" s="2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A6A6A6"/>
    <outlinePr summaryBelow="1" summaryRight="1"/>
    <pageSetUpPr/>
  </sheetPr>
  <dimension ref="A1:C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</cols>
  <sheetData>
    <row r="1">
      <c r="A1" s="1" t="inlineStr">
        <is>
          <t>_NamedRanges</t>
        </is>
      </c>
      <c r="B1" s="3" t="inlineStr">
        <is>
          <t>Named Ranges پیشنهادی برای خوانایی فرمول‌ها (در نسخه نهایی register می‌شوند).</t>
        </is>
      </c>
    </row>
    <row r="2">
      <c r="A2" s="4" t="inlineStr">
        <is>
          <t>Named_Range</t>
        </is>
      </c>
      <c r="B2" s="4" t="inlineStr">
        <is>
          <t>Refers_To</t>
        </is>
      </c>
      <c r="C2" s="4" t="inlineStr">
        <is>
          <t>Purpose</t>
        </is>
      </c>
    </row>
    <row r="3">
      <c r="A3" s="2" t="inlineStr">
        <is>
          <t>Rng_Fx_USD</t>
        </is>
      </c>
      <c r="B3" s="2" t="inlineStr">
        <is>
          <t>Settings!$B$13</t>
        </is>
      </c>
      <c r="C3" s="2" t="inlineStr">
        <is>
          <t>نرخ تبدیل USD→IRR (مرجع)</t>
        </is>
      </c>
    </row>
    <row r="4">
      <c r="A4" s="7" t="inlineStr">
        <is>
          <t>Rng_ReportingCurrency</t>
        </is>
      </c>
      <c r="B4" s="7" t="inlineStr">
        <is>
          <t>Settings!$B$12</t>
        </is>
      </c>
      <c r="C4" s="7" t="inlineStr">
        <is>
          <t>ارز گزارشگری</t>
        </is>
      </c>
    </row>
    <row r="5">
      <c r="A5" s="2" t="inlineStr">
        <is>
          <t>Rng_LaborRate</t>
        </is>
      </c>
      <c r="B5" s="2" t="inlineStr">
        <is>
          <t>Settings!$B$3</t>
        </is>
      </c>
      <c r="C5" s="2" t="inlineStr">
        <is>
          <t>نرخ دستمزد ساعتی</t>
        </is>
      </c>
    </row>
    <row r="6">
      <c r="A6" s="7" t="inlineStr">
        <is>
          <t>Rng_OverheadRate</t>
        </is>
      </c>
      <c r="B6" s="7" t="inlineStr">
        <is>
          <t>Settings!$B$4</t>
        </is>
      </c>
      <c r="C6" s="7" t="inlineStr">
        <is>
          <t>نرخ سربار تولید</t>
        </is>
      </c>
    </row>
    <row r="7">
      <c r="A7" s="2" t="inlineStr">
        <is>
          <t>Rng_FinCostRate</t>
        </is>
      </c>
      <c r="B7" s="2" t="inlineStr">
        <is>
          <t>Settings!$B$6</t>
        </is>
      </c>
      <c r="C7" s="2" t="inlineStr">
        <is>
          <t>نرخ هزینه مالی سالانه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tabColor rgb="00A6A6A6"/>
    <outlinePr summaryBelow="1" summaryRight="1"/>
    <pageSetUpPr/>
  </sheetPr>
  <dimension ref="A1:B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گزارش اجرایی پیشنهاد فروش (قابل چاپ / PDF)</t>
        </is>
      </c>
    </row>
    <row r="3">
      <c r="A3" s="2" t="inlineStr">
        <is>
          <t>مشتری</t>
        </is>
      </c>
      <c r="B3" s="2">
        <f>XLOOKUP(Orders!$B$3,Customers!$A$3:$A$20,Customers!$C$3:$C$20,"")</f>
        <v/>
      </c>
    </row>
    <row r="4">
      <c r="A4" s="2" t="n"/>
      <c r="B4" s="2" t="n"/>
    </row>
    <row r="5">
      <c r="A5" s="2" t="inlineStr">
        <is>
          <t>پروژه</t>
        </is>
      </c>
      <c r="B5" s="2">
        <f>Projects!$F$3</f>
        <v/>
      </c>
    </row>
    <row r="6">
      <c r="A6" s="2" t="n"/>
      <c r="B6" s="2" t="n"/>
    </row>
    <row r="7">
      <c r="A7" s="2" t="inlineStr">
        <is>
          <t>محصول</t>
        </is>
      </c>
      <c r="B7" s="2">
        <f>XLOOKUP(Order_Lines!$D$3,Products!$A$3:$A$20,Products!$C$3:$C$20,"")</f>
        <v/>
      </c>
    </row>
    <row r="8">
      <c r="A8" s="2" t="n"/>
      <c r="B8" s="2" t="n"/>
    </row>
    <row r="9">
      <c r="A9" s="2" t="inlineStr">
        <is>
          <t>مقدار</t>
        </is>
      </c>
      <c r="B9" s="2">
        <f>SUM(Order_Lines!$E$3:$E$20)</f>
        <v/>
      </c>
    </row>
    <row r="10">
      <c r="A10" s="2" t="n"/>
      <c r="B10" s="2" t="n"/>
    </row>
    <row r="11">
      <c r="A11" s="2" t="inlineStr">
        <is>
          <t>قیمت تمام‌شده (Total Cost)</t>
        </is>
      </c>
      <c r="B11" s="2">
        <f>Costing!$Q$3</f>
        <v/>
      </c>
    </row>
    <row r="12">
      <c r="A12" s="2" t="n"/>
      <c r="B12" s="2" t="n"/>
    </row>
    <row r="13">
      <c r="A13" s="2" t="inlineStr">
        <is>
          <t>قیمت پیشنهادی (Scenario B)</t>
        </is>
      </c>
      <c r="B13" s="2">
        <f>Sales_Quotation!$L$4</f>
        <v/>
      </c>
    </row>
    <row r="14">
      <c r="A14" s="2" t="n"/>
      <c r="B14" s="2" t="n"/>
    </row>
    <row r="15">
      <c r="A15" s="2" t="inlineStr">
        <is>
          <t>Margin (IRR)</t>
        </is>
      </c>
      <c r="B15" s="2">
        <f>Sales_Quotation!$L$4-Costing!$Q$3</f>
        <v/>
      </c>
    </row>
    <row r="16">
      <c r="A16" s="2" t="n"/>
      <c r="B16" s="2" t="n"/>
    </row>
    <row r="17">
      <c r="A17" s="2" t="inlineStr">
        <is>
          <t>شرایط پرداخت</t>
        </is>
      </c>
      <c r="B17" s="2">
        <f>TEXT(Payment_Terms!$C$3,"0%")&amp;" پیش‌پرداخت / اعتبار "&amp;Payment_Terms!$E$3&amp;" روز"</f>
        <v/>
      </c>
    </row>
    <row r="18">
      <c r="A18" s="2" t="n"/>
      <c r="B18" s="2" t="n"/>
    </row>
    <row r="19">
      <c r="A19" s="2" t="inlineStr">
        <is>
          <t>زمان تحویل</t>
        </is>
      </c>
      <c r="B19" s="2">
        <f>TEXT(Projects!$I$3,"yyyy-mm-dd")</f>
        <v/>
      </c>
    </row>
    <row r="20">
      <c r="A20" s="2" t="n"/>
      <c r="B20" s="2" t="n"/>
    </row>
    <row r="21">
      <c r="A21" s="2" t="inlineStr">
        <is>
          <t>ریسک‌های مهم</t>
        </is>
      </c>
      <c r="B21" s="2">
        <f>"انقضای قیمت شفت؛ تأمین مکانیکال سیل؛ تأخیر احتمالی تأمین"</f>
        <v/>
      </c>
    </row>
    <row r="22">
      <c r="A22" s="2" t="n"/>
      <c r="B22" s="2" t="n"/>
    </row>
    <row r="23">
      <c r="A23" s="2" t="inlineStr">
        <is>
          <t>تغییرات نسخه</t>
        </is>
      </c>
      <c r="B23" s="2">
        <f>BOM_Header!$F$3</f>
        <v/>
      </c>
    </row>
    <row r="24">
      <c r="A24" s="2" t="n"/>
      <c r="B24" s="2" t="n"/>
    </row>
    <row r="25">
      <c r="A25" s="2" t="inlineStr">
        <is>
          <t>تأییدهای انجام‌شده</t>
        </is>
      </c>
      <c r="B25" s="2">
        <f>"BOM R05 ✓ / Costing ✓ / Quotation ✓ / Management ✓"</f>
        <v/>
      </c>
    </row>
    <row r="26">
      <c r="A26" s="2" t="n"/>
      <c r="B26" s="2" t="n"/>
    </row>
    <row r="27">
      <c r="A27" s="2" t="inlineStr">
        <is>
          <t>تصمیم مدیریت</t>
        </is>
      </c>
      <c r="B27" s="2">
        <f>Management_Approval!$D$3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8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2026-09-23T12:02:55Z</dcterms:created>
  <dcterms:modified xsi:type="dcterms:W3CDTF">2026-09-23T12:02:55Z</dcterms:modified>
</cp:coreProperties>
</file>