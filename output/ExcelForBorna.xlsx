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ables/table4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Lists" sheetId="2" state="visible" r:id="rId2"/>
    <sheet name="Statuses" sheetId="3" state="visible" r:id="rId3"/>
    <sheet name="Departments" sheetId="4" state="visible" r:id="rId4"/>
    <sheet name="Roles" sheetId="5" state="visible" r:id="rId5"/>
    <sheet name="Users" sheetId="6" state="visible" r:id="rId6"/>
    <sheet name="Approval_Matrix" sheetId="7" state="visible" r:id="rId7"/>
    <sheet name="RACI" sheetId="8" state="visible" r:id="rId8"/>
    <sheet name="Customers" sheetId="9" state="visible" r:id="rId9"/>
    <sheet name="Products" sheetId="10" state="visible" r:id="rId10"/>
    <sheet name="Product_Revisions" sheetId="11" state="visible" r:id="rId11"/>
    <sheet name="Materials" sheetId="12" state="visible" r:id="rId12"/>
    <sheet name="Suppliers" sheetId="13" state="visible" r:id="rId13"/>
    <sheet name="Inventory" sheetId="14" state="visible" r:id="rId14"/>
    <sheet name="Orders" sheetId="15" state="visible" r:id="rId15"/>
    <sheet name="Order_Lines" sheetId="16" state="visible" r:id="rId16"/>
    <sheet name="Projects" sheetId="17" state="visible" r:id="rId17"/>
    <sheet name="Project_Statuses" sheetId="18" state="visible" r:id="rId18"/>
    <sheet name="Engineering" sheetId="19" state="visible" r:id="rId19"/>
    <sheet name="BOM_Header" sheetId="20" state="visible" r:id="rId20"/>
    <sheet name="BOM_Detail" sheetId="21" state="visible" r:id="rId21"/>
    <sheet name="Supplier_Quotes" sheetId="22" state="visible" r:id="rId22"/>
    <sheet name="Supplier_Quote_Lines" sheetId="23" state="visible" r:id="rId23"/>
    <sheet name="Procurement" sheetId="24" state="visible" r:id="rId24"/>
    <sheet name="Purchase_Prices" sheetId="25" state="visible" r:id="rId25"/>
    <sheet name="Planning" sheetId="26" state="visible" r:id="rId26"/>
    <sheet name="Schedule" sheetId="27" state="visible" r:id="rId27"/>
    <sheet name="Cost_Lines" sheetId="28" state="visible" r:id="rId28"/>
    <sheet name="Costing" sheetId="29" state="visible" r:id="rId29"/>
    <sheet name="Budget" sheetId="30" state="visible" r:id="rId30"/>
    <sheet name="Payment_Terms" sheetId="31" state="visible" r:id="rId31"/>
    <sheet name="Sales_Quotation" sheetId="32" state="visible" r:id="rId32"/>
    <sheet name="Quotation_Versions" sheetId="33" state="visible" r:id="rId33"/>
    <sheet name="Management_Approval" sheetId="34" state="visible" r:id="rId34"/>
    <sheet name="Workflow_History" sheetId="35" state="visible" r:id="rId35"/>
    <sheet name="Change_Log" sheetId="36" state="visible" r:id="rId36"/>
    <sheet name="Issues" sheetId="37" state="visible" r:id="rId37"/>
    <sheet name="Error_Checks" sheetId="38" state="visible" r:id="rId38"/>
    <sheet name="Test_Results" sheetId="39" state="visible" r:id="rId39"/>
    <sheet name="Workflow" sheetId="40" state="visible" r:id="rId40"/>
    <sheet name="Dashboard" sheetId="41" state="visible" r:id="rId41"/>
    <sheet name="_Trace" sheetId="42" state="visible" r:id="rId42"/>
    <sheet name="Report_Quotation" sheetId="43" state="visible" r:id="rId43"/>
    <sheet name="_NamedRange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yyyy-mm-dd"/>
    <numFmt numFmtId="166" formatCode="#,##0.00##"/>
    <numFmt numFmtId="167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0F4C81"/>
      <sz val="14"/>
    </font>
    <font>
      <name val="Calibri"/>
      <i val="1"/>
      <color rgb="006B7280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3F7F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6" fontId="0" fillId="0" borderId="1" pivotButton="0" quotePrefix="0" xfId="0"/>
    <xf numFmtId="166" fontId="0" fillId="3" borderId="1" pivotButton="0" quotePrefix="0" xfId="0"/>
    <xf numFmtId="1" fontId="0" fillId="0" borderId="1" pivotButton="0" quotePrefix="0" xfId="0"/>
    <xf numFmtId="1" fontId="0" fillId="3" borderId="1" pivotButton="0" quotePrefix="0" xfId="0"/>
    <xf numFmtId="167" fontId="0" fillId="0" borderId="1" pivotButton="0" quotePrefix="0" xfId="0"/>
    <xf numFmtId="167" fontId="0" fillId="3" borderId="1" pivotButton="0" quotePrefix="0" xfId="0"/>
  </cellXfs>
  <cellStyles count="1">
    <cellStyle name="Normal" xfId="0" builtinId="0" hidden="0"/>
  </cellStyles>
  <dxfs count="2">
    <dxf>
      <font>
        <b val="1"/>
        <color rgb="001E7B3C"/>
      </font>
      <fill>
        <patternFill patternType="solid">
          <fgColor rgb="00E6F4EA"/>
        </patternFill>
      </fill>
    </dxf>
    <dxf>
      <font>
        <b val="1"/>
        <color rgb="009C0006"/>
      </font>
      <fill>
        <patternFill patternType="solid">
          <fgColor rgb="00FDE7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ables/table1.xml><?xml version="1.0" encoding="utf-8"?>
<table xmlns="http://schemas.openxmlformats.org/spreadsheetml/2006/main" id="1" name="tblSettings" displayName="tblSettings" ref="A2:E24" headerRowCount="1">
  <autoFilter ref="A2:E24"/>
  <tableColumns count="5">
    <tableColumn id="1" name="Key"/>
    <tableColumn id="2" name="Value"/>
    <tableColumn id="3" name="Data_Type"/>
    <tableColumn id="4" name="ASSUMPTION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Lists" displayName="tblLists" ref="A2:B70" headerRowCount="1">
  <autoFilter ref="A2:B70"/>
  <tableColumns count="2">
    <tableColumn id="1" name="List_Name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tatuses" displayName="tblStatuses" ref="A2:D10" headerRowCount="1">
  <autoFilter ref="A2:D10"/>
  <tableColumns count="4">
    <tableColumn id="1" name="Status_ID"/>
    <tableColumn id="2" name="Status_Name"/>
    <tableColumn id="3" name="Status_Group"/>
    <tableColumn id="4" name="Sequ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epartments" displayName="tblDepartments" ref="A2:B9" headerRowCount="1">
  <autoFilter ref="A2:B9"/>
  <tableColumns count="2">
    <tableColumn id="1" name="Department_ID"/>
    <tableColumn id="2" name="Department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Roles" displayName="tblRoles" ref="A2:B11" headerRowCount="1">
  <autoFilter ref="A2:B11"/>
  <tableColumns count="2">
    <tableColumn id="1" name="Role_ID"/>
    <tableColumn id="2" name="Role_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Users" displayName="tblUsers" ref="A2:G10" headerRowCount="1">
  <autoFilter ref="A2:G10"/>
  <tableColumns count="7">
    <tableColumn id="1" name="User_ID"/>
    <tableColumn id="2" name="Name"/>
    <tableColumn id="3" name="Department_ID"/>
    <tableColumn id="4" name="Role_ID"/>
    <tableColumn id="5" name="Email"/>
    <tableColumn id="6" name="Approval_Level"/>
    <tableColumn id="7" name="Is_Activ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pprovalMatrix" displayName="tblApprovalMatrix" ref="A2:H11" headerRowCount="1">
  <autoFilter ref="A2:H11"/>
  <tableColumns count="8">
    <tableColumn id="1" name="Entity"/>
    <tableColumn id="2" name="Gate"/>
    <tableColumn id="3" name="Approver_Role"/>
    <tableColumn id="4" name="Min_Approval_Level"/>
    <tableColumn id="5" name="Responsible"/>
    <tableColumn id="6" name="Reviewer"/>
    <tableColumn id="7" name="Approver"/>
    <tableColumn id="8" name="Inform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RACI" displayName="tblRACI" ref="A2:H17" headerRowCount="1">
  <autoFilter ref="A2:H17"/>
  <tableColumns count="8">
    <tableColumn id="1" name="Activity"/>
    <tableColumn id="2" name="Sales"/>
    <tableColumn id="3" name="Engineering"/>
    <tableColumn id="4" name="Planning"/>
    <tableColumn id="5" name="Procurement"/>
    <tableColumn id="6" name="Finance"/>
    <tableColumn id="7" name="PMO"/>
    <tableColumn id="8" name="Managem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ustomers" displayName="tblCustomers" ref="A2:O4" headerRowCount="1">
  <autoFilter ref="A2:O4"/>
  <tableColumns count="15">
    <tableColumn id="1" name="System_ID"/>
    <tableColumn id="2" name="Customer_Code"/>
    <tableColumn id="3" name="Customer_Name"/>
    <tableColumn id="4" name="Legal_Name"/>
    <tableColumn id="5" name="Customer_Type"/>
    <tableColumn id="6" name="Country"/>
    <tableColumn id="7" name="City"/>
    <tableColumn id="8" name="Delivery_Location"/>
    <tableColumn id="9" name="Payment_Condition"/>
    <tableColumn id="10" name="Credit_Limit"/>
    <tableColumn id="11" name="Currency"/>
    <tableColumn id="12" name="Tax_Status"/>
    <tableColumn id="13" name="Is_Active"/>
    <tableColumn id="14" name="Sales_Owner"/>
    <tableColumn id="15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Products" displayName="tblProducts" ref="A2:G4" headerRowCount="1">
  <autoFilter ref="A2:G4"/>
  <tableColumns count="7">
    <tableColumn id="1" name="System_ID"/>
    <tableColumn id="2" name="Product_Code"/>
    <tableColumn id="3" name="Product_Name"/>
    <tableColumn id="4" name="Product_Type"/>
    <tableColumn id="5" name="Base_UoM"/>
    <tableColumn id="6" name="Category"/>
    <tableColumn id="7" name="Is_Activ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roductRevisions" displayName="tblProductRevisions" ref="A2:I4" headerRowCount="1">
  <autoFilter ref="A2:I4"/>
  <tableColumns count="9">
    <tableColumn id="1" name="System_ID"/>
    <tableColumn id="2" name="Product_ID"/>
    <tableColumn id="3" name="Revision_No"/>
    <tableColumn id="4" name="Drawing_No"/>
    <tableColumn id="5" name="Drawing_Revision"/>
    <tableColumn id="6" name="BOM_Policy"/>
    <tableColumn id="7" name="Approved_By"/>
    <tableColumn id="8" name="Approve_Date"/>
    <tableColumn id="9" name="Change_Reas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Materials" displayName="tblMaterials" ref="A2:I9" headerRowCount="1">
  <autoFilter ref="A2:I9"/>
  <tableColumns count="9">
    <tableColumn id="1" name="System_ID"/>
    <tableColumn id="2" name="Material_Code"/>
    <tableColumn id="3" name="Material_Description"/>
    <tableColumn id="4" name="Material_Type"/>
    <tableColumn id="5" name="Specification"/>
    <tableColumn id="6" name="UoM"/>
    <tableColumn id="7" name="Make_Buy_Default"/>
    <tableColumn id="8" name="Preferred_Supplier"/>
    <tableColumn id="9" name="Is_Activ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Suppliers" displayName="tblSuppliers" ref="A2:L7" headerRowCount="1">
  <autoFilter ref="A2:L7"/>
  <tableColumns count="12">
    <tableColumn id="1" name="System_ID"/>
    <tableColumn id="2" name="Supplier_Code"/>
    <tableColumn id="3" name="Supplier_Name"/>
    <tableColumn id="4" name="Legal_Name"/>
    <tableColumn id="5" name="Country"/>
    <tableColumn id="6" name="Currency"/>
    <tableColumn id="7" name="Payment_Terms_Default"/>
    <tableColumn id="8" name="Incoterm_Default"/>
    <tableColumn id="9" name="Rating"/>
    <tableColumn id="10" name="Approval_Status"/>
    <tableColumn id="11" name="Contact"/>
    <tableColumn id="12" name="Is_Activ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Inventory" displayName="tblInventory" ref="A2:D9" headerRowCount="1">
  <autoFilter ref="A2:D9"/>
  <tableColumns count="4">
    <tableColumn id="1" name="System_ID"/>
    <tableColumn id="2" name="Material_ID"/>
    <tableColumn id="3" name="Stock_On_Hand"/>
    <tableColumn id="4" name="Reserve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Orders" displayName="tblOrders" ref="A2:U5" headerRowCount="1">
  <autoFilter ref="A2:U5"/>
  <tableColumns count="21">
    <tableColumn id="1" name="System_ID"/>
    <tableColumn id="2" name="Customer_ID"/>
    <tableColumn id="3" name="Order_Date"/>
    <tableColumn id="4" name="Requested_Delivery_Date"/>
    <tableColumn id="5" name="Request_Type"/>
    <tableColumn id="6" name="Total_Qty"/>
    <tableColumn id="7" name="Delivery_Terms"/>
    <tableColumn id="8" name="Payment_Terms"/>
    <tableColumn id="9" name="Validity_Days"/>
    <tableColumn id="10" name="Confidentiality_Level"/>
    <tableColumn id="11" name="Sales_Responsible"/>
    <tableColumn id="12" name="Doc_Ref"/>
    <tableColumn id="13" name="Status_ID"/>
    <tableColumn id="14" name="CO_01_Customer_Valid"/>
    <tableColumn id="15" name="CO_02_Qty_Defined"/>
    <tableColumn id="16" name="CO_03_Delivery_Defined"/>
    <tableColumn id="17" name="CO_04_Payment_Defined"/>
    <tableColumn id="18" name="Ready_Flag"/>
    <tableColumn id="19" name="Duplicate_Flag"/>
    <tableColumn id="20" name="Create_Date"/>
    <tableColumn id="21" name="Created_B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OrderLines" displayName="tblOrderLines" ref="A2:I5" headerRowCount="1">
  <autoFilter ref="A2:I5"/>
  <tableColumns count="9">
    <tableColumn id="1" name="System_ID"/>
    <tableColumn id="2" name="Order_ID"/>
    <tableColumn id="3" name="Line_No"/>
    <tableColumn id="4" name="Product_ID"/>
    <tableColumn id="5" name="Quantity"/>
    <tableColumn id="6" name="UoM"/>
    <tableColumn id="7" name="Latest_FLAG"/>
    <tableColumn id="8" name="Create_Date"/>
    <tableColumn id="9" name="Created_B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Projects" displayName="tblProjects" ref="A2:Q4" headerRowCount="1">
  <autoFilter ref="A2:Q4"/>
  <tableColumns count="17">
    <tableColumn id="1" name="System_ID"/>
    <tableColumn id="2" name="Project_Code"/>
    <tableColumn id="3" name="Order_ID"/>
    <tableColumn id="4" name="Customer_ID"/>
    <tableColumn id="5" name="Product_ID"/>
    <tableColumn id="6" name="Project_Name"/>
    <tableColumn id="7" name="Project_Manager"/>
    <tableColumn id="8" name="Start_Date"/>
    <tableColumn id="9" name="Due_Date"/>
    <tableColumn id="10" name="Priority"/>
    <tableColumn id="11" name="Status_ID"/>
    <tableColumn id="12" name="Progress_%"/>
    <tableColumn id="13" name="Sponsor"/>
    <tableColumn id="14" name="Team_List"/>
    <tableColumn id="15" name="Overdue_Flag"/>
    <tableColumn id="16" name="Create_Date"/>
    <tableColumn id="17" name="Created_By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ProjectStatuses" displayName="tblProjectStatuses" ref="A2:G14" headerRowCount="1">
  <autoFilter ref="A2:G14"/>
  <tableColumns count="7">
    <tableColumn id="1" name="System_ID"/>
    <tableColumn id="2" name="Project_ID"/>
    <tableColumn id="3" name="Stage"/>
    <tableColumn id="4" name="Stage_Status"/>
    <tableColumn id="5" name="Start_Date"/>
    <tableColumn id="6" name="End_Date"/>
    <tableColumn id="7" name="Remark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Engineering" displayName="tblEngineering" ref="A2:Q4" headerRowCount="1">
  <autoFilter ref="A2:Q4"/>
  <tableColumns count="17">
    <tableColumn id="1" name="System_ID"/>
    <tableColumn id="2" name="Project_ID"/>
    <tableColumn id="3" name="Product_ID"/>
    <tableColumn id="4" name="Product_Revision_ID"/>
    <tableColumn id="5" name="Drawing_No"/>
    <tableColumn id="6" name="Drawing_Revision"/>
    <tableColumn id="7" name="BOM_Revision_ID"/>
    <tableColumn id="8" name="Status_ID"/>
    <tableColumn id="9" name="Process"/>
    <tableColumn id="10" name="Machine"/>
    <tableColumn id="11" name="Tooling"/>
    <tableColumn id="12" name="Packaging"/>
    <tableColumn id="13" name="Engineering_Notes"/>
    <tableColumn id="14" name="Submitted_By"/>
    <tableColumn id="15" name="Approved_By"/>
    <tableColumn id="16" name="Create_Date"/>
    <tableColumn id="17" name="Created_B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BOMHeader" displayName="tblBOMHeader" ref="A2:L5" headerRowCount="1">
  <autoFilter ref="A2:L5"/>
  <tableColumns count="12">
    <tableColumn id="1" name="System_ID"/>
    <tableColumn id="2" name="BOM_ID"/>
    <tableColumn id="3" name="Product_Revision_ID"/>
    <tableColumn id="4" name="Revision_No"/>
    <tableColumn id="5" name="Rev_Date"/>
    <tableColumn id="6" name="Change_Reason"/>
    <tableColumn id="7" name="Changed_By"/>
    <tableColumn id="8" name="Approved_By"/>
    <tableColumn id="9" name="Status_ID"/>
    <tableColumn id="10" name="Is_Active"/>
    <tableColumn id="11" name="Create_Date"/>
    <tableColumn id="12" name="Created_By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BOMDetail" displayName="tblBOMDetail" ref="A2:O25" headerRowCount="1">
  <autoFilter ref="A2:O25"/>
  <tableColumns count="15">
    <tableColumn id="1" name="System_ID"/>
    <tableColumn id="2" name="BOM_Revision_ID"/>
    <tableColumn id="3" name="Parent_BOM_Line_ID"/>
    <tableColumn id="4" name="Level_No"/>
    <tableColumn id="5" name="Sequence_No"/>
    <tableColumn id="6" name="Material_ID"/>
    <tableColumn id="7" name="Qty_Per"/>
    <tableColumn id="8" name="UoM"/>
    <tableColumn id="9" name="Scrap_%"/>
    <tableColumn id="10" name="Net_Qty"/>
    <tableColumn id="11" name="Gross_Qty"/>
    <tableColumn id="12" name="Make_Buy"/>
    <tableColumn id="13" name="Approved_Supplier"/>
    <tableColumn id="14" name="Create_Date"/>
    <tableColumn id="15" name="Created_By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SupplierQuotes" displayName="tblSupplierQuotes" ref="A2:J6" headerRowCount="1">
  <autoFilter ref="A2:J6"/>
  <tableColumns count="10">
    <tableColumn id="1" name="System_ID"/>
    <tableColumn id="2" name="Project_ID"/>
    <tableColumn id="3" name="Material_ID"/>
    <tableColumn id="4" name="Qty_Required"/>
    <tableColumn id="5" name="Quoted_Date"/>
    <tableColumn id="6" name="Valid_Until"/>
    <tableColumn id="7" name="Status_ID"/>
    <tableColumn id="8" name="Selected_Line_ID"/>
    <tableColumn id="9" name="Create_Date"/>
    <tableColumn id="10" name="Created_By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SupplierQuoteLines" displayName="tblSupplierQuoteLines" ref="A2:W10" headerRowCount="1">
  <autoFilter ref="A2:W10"/>
  <tableColumns count="23">
    <tableColumn id="1" name="System_ID"/>
    <tableColumn id="2" name="Supplier_Quote_ID"/>
    <tableColumn id="3" name="Supplier_ID"/>
    <tableColumn id="4" name="Unit_Price"/>
    <tableColumn id="5" name="Currency"/>
    <tableColumn id="6" name="MOQ"/>
    <tableColumn id="7" name="Lead_Time_Days"/>
    <tableColumn id="8" name="Payment_Terms"/>
    <tableColumn id="9" name="Incoterm"/>
    <tableColumn id="10" name="Freight"/>
    <tableColumn id="11" name="Valid_To"/>
    <tableColumn id="12" name="Price_Source"/>
    <tableColumn id="13" name="Price_Confirm_Status"/>
    <tableColumn id="14" name="Quality_Score"/>
    <tableColumn id="15" name="OnTime_Score"/>
    <tableColumn id="16" name="Capacity_Score"/>
    <tableColumn id="17" name="Risk_Score"/>
    <tableColumn id="18" name="Longevity_Score"/>
    <tableColumn id="19" name="Score_Total"/>
    <tableColumn id="20" name="Selected"/>
    <tableColumn id="21" name="Landed_Estimate"/>
    <tableColumn id="22" name="Create_Date"/>
    <tableColumn id="23" name="Created_By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Procurement" displayName="tblProcurement" ref="A2:Z6" headerRowCount="1">
  <autoFilter ref="A2:Z6"/>
  <tableColumns count="26">
    <tableColumn id="1" name="System_ID"/>
    <tableColumn id="2" name="Project_ID"/>
    <tableColumn id="3" name="Material_ID"/>
    <tableColumn id="4" name="Supplier_ID"/>
    <tableColumn id="5" name="Buyer"/>
    <tableColumn id="6" name="Currency"/>
    <tableColumn id="7" name="Fx_Rate"/>
    <tableColumn id="8" name="Buy_Qty"/>
    <tableColumn id="9" name="Unit_Purchase_Price"/>
    <tableColumn id="10" name="MOQ_Applied"/>
    <tableColumn id="11" name="Lead_Time_Days"/>
    <tableColumn id="12" name="Payment_Terms"/>
    <tableColumn id="13" name="Incoterm"/>
    <tableColumn id="14" name="Freight_Per_Unit"/>
    <tableColumn id="15" name="Insurance_Per_Unit"/>
    <tableColumn id="16" name="Customs_Per_Unit"/>
    <tableColumn id="17" name="Handling_Per_Unit"/>
    <tableColumn id="18" name="Other_Per_Unit"/>
    <tableColumn id="19" name="Landed_Cost_Unit"/>
    <tableColumn id="20" name="Price_Date"/>
    <tableColumn id="21" name="Price_Source"/>
    <tableColumn id="22" name="Price_Valid_To"/>
    <tableColumn id="23" name="Price_Expired_Flag"/>
    <tableColumn id="24" name="Status_ID"/>
    <tableColumn id="25" name="Create_Date"/>
    <tableColumn id="26" name="Created_B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PurchasePrices" displayName="tblPurchasePrices" ref="A2:V10" headerRowCount="1">
  <autoFilter ref="A2:V10"/>
  <tableColumns count="22">
    <tableColumn id="1" name="System_ID"/>
    <tableColumn id="2" name="Material_ID"/>
    <tableColumn id="3" name="Supplier_ID"/>
    <tableColumn id="4" name="Revision"/>
    <tableColumn id="5" name="Price_Date"/>
    <tableColumn id="6" name="Price_Source"/>
    <tableColumn id="7" name="Currency"/>
    <tableColumn id="8" name="Fx_Rate"/>
    <tableColumn id="9" name="Unit_Price"/>
    <tableColumn id="10" name="Freight_Per_Unit"/>
    <tableColumn id="11" name="Insurance_Per_Unit"/>
    <tableColumn id="12" name="Customs_Per_Unit"/>
    <tableColumn id="13" name="Handling_Per_Unit"/>
    <tableColumn id="14" name="Other_Per_Unit"/>
    <tableColumn id="15" name="Landed_Cost_Unit"/>
    <tableColumn id="16" name="Valid_From"/>
    <tableColumn id="17" name="Valid_To"/>
    <tableColumn id="18" name="Expired_Flag"/>
    <tableColumn id="19" name="Status_ID"/>
    <tableColumn id="20" name="Approved_By"/>
    <tableColumn id="21" name="Create_Date"/>
    <tableColumn id="22" name="Created_By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Planning" displayName="tblPlanning" ref="A2:T15" headerRowCount="1">
  <autoFilter ref="A2:T15"/>
  <tableColumns count="20">
    <tableColumn id="1" name="System_ID"/>
    <tableColumn id="2" name="Project_ID"/>
    <tableColumn id="3" name="BOM_Revision_ID"/>
    <tableColumn id="4" name="BOM_Line_ID"/>
    <tableColumn id="5" name="Product_ID"/>
    <tableColumn id="6" name="Material_ID"/>
    <tableColumn id="7" name="Make_Buy"/>
    <tableColumn id="8" name="Order_Qty"/>
    <tableColumn id="9" name="Bom_Qty_Per"/>
    <tableColumn id="10" name="Scrap_%"/>
    <tableColumn id="11" name="Required_Qty"/>
    <tableColumn id="12" name="Stock_On_Hand"/>
    <tableColumn id="13" name="Reserved"/>
    <tableColumn id="14" name="Deficit"/>
    <tableColumn id="15" name="Buy_Qty"/>
    <tableColumn id="16" name="Lead_Time_Days"/>
    <tableColumn id="17" name="Supply_Date"/>
    <tableColumn id="18" name="Status_ID"/>
    <tableColumn id="19" name="Create_Date"/>
    <tableColumn id="20" name="Created_By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Schedule" displayName="tblSchedule" ref="A2:M13" headerRowCount="1">
  <autoFilter ref="A2:M13"/>
  <tableColumns count="13">
    <tableColumn id="1" name="System_ID"/>
    <tableColumn id="2" name="Project_ID"/>
    <tableColumn id="3" name="Activity"/>
    <tableColumn id="4" name="Start_Date"/>
    <tableColumn id="5" name="End_Date"/>
    <tableColumn id="6" name="Duration"/>
    <tableColumn id="7" name="Responsible"/>
    <tableColumn id="8" name="Dependency"/>
    <tableColumn id="9" name="Status_ID"/>
    <tableColumn id="10" name="Delay_Days"/>
    <tableColumn id="11" name="Delay_Reason"/>
    <tableColumn id="12" name="Create_Date"/>
    <tableColumn id="13" name="Created_By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CostLines" displayName="tblCostLines" ref="A2:N20" headerRowCount="1">
  <autoFilter ref="A2:N20"/>
  <tableColumns count="14">
    <tableColumn id="1" name="System_ID"/>
    <tableColumn id="2" name="Costing_ID"/>
    <tableColumn id="3" name="Project_ID"/>
    <tableColumn id="4" name="Category"/>
    <tableColumn id="5" name="Material_ID"/>
    <tableColumn id="6" name="Supplier_ID"/>
    <tableColumn id="7" name="Qty"/>
    <tableColumn id="8" name="UoM"/>
    <tableColumn id="9" name="Unit_Cost"/>
    <tableColumn id="10" name="Amount"/>
    <tableColumn id="11" name="Source_Ref"/>
    <tableColumn id="12" name="Memo"/>
    <tableColumn id="13" name="Create_Date"/>
    <tableColumn id="14" name="Created_By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Costing" displayName="tblCosting" ref="A2:U3" headerRowCount="1">
  <autoFilter ref="A2:U3"/>
  <tableColumns count="21">
    <tableColumn id="1" name="System_ID"/>
    <tableColumn id="2" name="Project_ID"/>
    <tableColumn id="3" name="Revision"/>
    <tableColumn id="4" name="Status_ID"/>
    <tableColumn id="5" name="Cost_Basis"/>
    <tableColumn id="6" name="Qty_Basis"/>
    <tableColumn id="7" name="Direct_Material"/>
    <tableColumn id="8" name="Purchased_Parts"/>
    <tableColumn id="9" name="Direct_Labor"/>
    <tableColumn id="10" name="Mfg_Overhead"/>
    <tableColumn id="11" name="Scrap"/>
    <tableColumn id="12" name="Packaging"/>
    <tableColumn id="13" name="Logistics"/>
    <tableColumn id="14" name="Tooling"/>
    <tableColumn id="15" name="SG&amp;A"/>
    <tableColumn id="16" name="Other_Allocated"/>
    <tableColumn id="17" name="Total_Cost"/>
    <tableColumn id="18" name="Cost_Per_Unit"/>
    <tableColumn id="19" name="Approved_By"/>
    <tableColumn id="20" name="Create_Date"/>
    <tableColumn id="21" name="Created_By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blBudget" displayName="tblBudget" ref="A2:V3" headerRowCount="1">
  <autoFilter ref="A2:V3"/>
  <tableColumns count="22">
    <tableColumn id="1" name="System_ID"/>
    <tableColumn id="2" name="Project_ID"/>
    <tableColumn id="3" name="Revision"/>
    <tableColumn id="4" name="Period"/>
    <tableColumn id="5" name="Budget_Material"/>
    <tableColumn id="6" name="Budget_Labor"/>
    <tableColumn id="7" name="Budget_Overhead"/>
    <tableColumn id="8" name="Budget_Procurement"/>
    <tableColumn id="9" name="Budget_Logistics"/>
    <tableColumn id="10" name="Budget_Tooling"/>
    <tableColumn id="11" name="Budget_Other"/>
    <tableColumn id="12" name="Total_Budget"/>
    <tableColumn id="13" name="Actual_Material"/>
    <tableColumn id="14" name="Actual_Labor"/>
    <tableColumn id="15" name="Actual_Overhead"/>
    <tableColumn id="16" name="Actual_Logistics"/>
    <tableColumn id="17" name="Actual_Other"/>
    <tableColumn id="18" name="Actual_Total"/>
    <tableColumn id="19" name="Variance_Total"/>
    <tableColumn id="20" name="Budget_vs_Actual"/>
    <tableColumn id="21" name="Create_Date"/>
    <tableColumn id="22" name="Created_By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blPaymentTerms" displayName="tblPaymentTerms" ref="A2:N3" headerRowCount="1">
  <autoFilter ref="A2:N3"/>
  <tableColumns count="14">
    <tableColumn id="1" name="System_ID"/>
    <tableColumn id="2" name="Quotation_ID"/>
    <tableColumn id="3" name="Advance_Payment_%"/>
    <tableColumn id="4" name="Payment_On_Delivery_%"/>
    <tableColumn id="5" name="Credit_Days"/>
    <tableColumn id="6" name="Installment_Terms"/>
    <tableColumn id="7" name="Bank_Guarantee"/>
    <tableColumn id="8" name="Currency"/>
    <tableColumn id="9" name="Payment_Risk_Level"/>
    <tableColumn id="10" name="Fin_Cost_Rate_Annual"/>
    <tableColumn id="11" name="Fin_Cost_Amount"/>
    <tableColumn id="12" name="Is_Active_FLAG"/>
    <tableColumn id="13" name="Create_Date"/>
    <tableColumn id="14" name="Created_By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blSalesQuotation" displayName="tblSalesQuotation" ref="A2:Q5" headerRowCount="1">
  <autoFilter ref="A2:Q5"/>
  <tableColumns count="17">
    <tableColumn id="1" name="System_ID"/>
    <tableColumn id="2" name="Project_ID"/>
    <tableColumn id="3" name="Quotation_Code"/>
    <tableColumn id="4" name="Scenario"/>
    <tableColumn id="5" name="Costing_ID"/>
    <tableColumn id="6" name="Total_Cost"/>
    <tableColumn id="7" name="Desired_Margin_%"/>
    <tableColumn id="8" name="Margin_Amount"/>
    <tableColumn id="9" name="Commercial_Adjustment"/>
    <tableColumn id="10" name="Risk_Adjustment"/>
    <tableColumn id="11" name="Financial_Adjustment"/>
    <tableColumn id="12" name="Proposed_Selling_Price"/>
    <tableColumn id="13" name="Currency"/>
    <tableColumn id="14" name="Basis_Memo"/>
    <tableColumn id="15" name="Status_ID"/>
    <tableColumn id="16" name="Create_Date"/>
    <tableColumn id="17" name="Created_By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blQuotationVersions" displayName="tblQuotationVersions" ref="A2:L3" headerRowCount="1">
  <autoFilter ref="A2:L3"/>
  <tableColumns count="12">
    <tableColumn id="1" name="System_ID"/>
    <tableColumn id="2" name="Quotation_ID"/>
    <tableColumn id="3" name="Version_No"/>
    <tableColumn id="4" name="Costing_Revision_ID"/>
    <tableColumn id="5" name="Total_Cost"/>
    <tableColumn id="6" name="Margin_Amount"/>
    <tableColumn id="7" name="Proposed_Selling_Price"/>
    <tableColumn id="8" name="Change_Summary"/>
    <tableColumn id="9" name="Approved_Step"/>
    <tableColumn id="10" name="Status_ID"/>
    <tableColumn id="11" name="Create_Date"/>
    <tableColumn id="12" name="Created_By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blManagementApproval" displayName="tblManagementApproval" ref="A2:K3" headerRowCount="1">
  <autoFilter ref="A2:K3"/>
  <tableColumns count="11">
    <tableColumn id="1" name="System_ID"/>
    <tableColumn id="2" name="Quotation_Version_ID"/>
    <tableColumn id="3" name="Project_ID"/>
    <tableColumn id="4" name="Decision"/>
    <tableColumn id="5" name="Decision_Maker"/>
    <tableColumn id="6" name="Decision_Date"/>
    <tableColumn id="7" name="Comment"/>
    <tableColumn id="8" name="Version_Ref"/>
    <tableColumn id="9" name="Status_ID"/>
    <tableColumn id="10" name="Create_Date"/>
    <tableColumn id="11" name="Created_By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blWorkflowHistory" displayName="tblWorkflowHistory" ref="A2:I8" headerRowCount="1">
  <autoFilter ref="A2:I8"/>
  <tableColumns count="9">
    <tableColumn id="1" name="Workflow_History_ID"/>
    <tableColumn id="2" name="Project_ID"/>
    <tableColumn id="3" name="Entity_Type"/>
    <tableColumn id="4" name="Entity_ID"/>
    <tableColumn id="5" name="From_Status"/>
    <tableColumn id="6" name="To_Status"/>
    <tableColumn id="7" name="Action_Date"/>
    <tableColumn id="8" name="User_ID"/>
    <tableColumn id="9" name="Comment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blChangeLog" displayName="tblChangeLog" ref="A2:M3" headerRowCount="1">
  <autoFilter ref="A2:M3"/>
  <tableColumns count="13">
    <tableColumn id="1" name="Change_Log_ID"/>
    <tableColumn id="2" name="Project_ID"/>
    <tableColumn id="3" name="Entity_Type"/>
    <tableColumn id="4" name="Entity_ID"/>
    <tableColumn id="5" name="Field_Changed"/>
    <tableColumn id="6" name="Old_Value"/>
    <tableColumn id="7" name="New_Value"/>
    <tableColumn id="8" name="Change_Reason"/>
    <tableColumn id="9" name="Changed_By"/>
    <tableColumn id="10" name="Change_Date"/>
    <tableColumn id="11" name="Revision_After"/>
    <tableColumn id="12" name="Create_Date"/>
    <tableColumn id="13" name="Created_By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blIssues" displayName="tblIssues" ref="A2:K4" headerRowCount="1">
  <autoFilter ref="A2:K4"/>
  <tableColumns count="11">
    <tableColumn id="1" name="Issue_ID"/>
    <tableColumn id="2" name="Project_ID"/>
    <tableColumn id="3" name="Error_Code"/>
    <tableColumn id="4" name="Error_Description"/>
    <tableColumn id="5" name="Owner"/>
    <tableColumn id="6" name="Required_Action"/>
    <tableColumn id="7" name="Status"/>
    <tableColumn id="8" name="Severity"/>
    <tableColumn id="9" name="Raised_Date"/>
    <tableColumn id="10" name="Create_Date"/>
    <tableColumn id="11" name="Created_By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blErrorChecks" displayName="tblErrorChecks" ref="A2:K16" headerRowCount="1">
  <autoFilter ref="A2:K16"/>
  <tableColumns count="11">
    <tableColumn id="1" name="Rule_Key"/>
    <tableColumn id="2" name="Error_Code"/>
    <tableColumn id="3" name="Check_Description"/>
    <tableColumn id="4" name="Severity"/>
    <tableColumn id="5" name="Owner"/>
    <tableColumn id="6" name="Formula_Result"/>
    <tableColumn id="7" name="Message"/>
    <tableColumn id="8" name="Required_Action"/>
    <tableColumn id="9" name="Status"/>
    <tableColumn id="10" name="Create_Date"/>
    <tableColumn id="11" name="Created_By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blTestResults" displayName="tblTestResults" ref="A2:I17" headerRowCount="1">
  <autoFilter ref="A2:I17"/>
  <tableColumns count="9">
    <tableColumn id="1" name="Test_ID"/>
    <tableColumn id="2" name="Test_Scenario"/>
    <tableColumn id="3" name="Input"/>
    <tableColumn id="4" name="Expected_Result"/>
    <tableColumn id="5" name="Actual_Result"/>
    <tableColumn id="6" name="Pass_Fail"/>
    <tableColumn id="7" name="Issue"/>
    <tableColumn id="8" name="Executed_Date"/>
    <tableColumn id="9" name="By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blNamedRanges" displayName="tblNamedRanges" ref="A2:C7" headerRowCount="1">
  <autoFilter ref="A2:C7"/>
  <tableColumns count="3">
    <tableColumn id="1" name="Named_Range"/>
    <tableColumn id="2" name="Refers_To"/>
    <tableColumn id="3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3" customWidth="1" min="4" max="4"/>
    <col width="14" customWidth="1" min="5" max="5"/>
  </cols>
  <sheetData>
    <row r="1">
      <c r="A1" s="1" t="inlineStr">
        <is>
          <t>Settings</t>
        </is>
      </c>
      <c r="B1" s="2" t="inlineStr">
        <is>
          <t>همه نرخ‌ها/ضرایب سازمانی اینجا ویرایش می‌شوند؛ پیش‌فرض‌ها ASSUMPTION هستند (هیچ عددی داخل فرمول‌ها Hard-code نشده).</t>
        </is>
      </c>
    </row>
    <row r="2">
      <c r="A2" s="3" t="inlineStr">
        <is>
          <t>Key</t>
        </is>
      </c>
      <c r="B2" s="3" t="inlineStr">
        <is>
          <t>Value</t>
        </is>
      </c>
      <c r="C2" s="3" t="inlineStr">
        <is>
          <t>Data_Type</t>
        </is>
      </c>
      <c r="D2" s="3" t="inlineStr">
        <is>
          <t>ASSUMPTION</t>
        </is>
      </c>
      <c r="E2" s="3" t="inlineStr">
        <is>
          <t>Description</t>
        </is>
      </c>
    </row>
    <row r="3">
      <c r="A3" s="4" t="inlineStr">
        <is>
          <t>Labor_Rate_Per_Hour</t>
        </is>
      </c>
      <c r="B3" s="5" t="n">
        <v>2500000</v>
      </c>
      <c r="C3" s="4" t="inlineStr">
        <is>
          <t>Number</t>
        </is>
      </c>
      <c r="D3" s="4" t="inlineStr">
        <is>
          <t>YES</t>
        </is>
      </c>
      <c r="E3" s="4" t="inlineStr">
        <is>
          <t>ASSUMPTION: نرخ دستمزد ساعتی (IRR)</t>
        </is>
      </c>
    </row>
    <row r="4">
      <c r="A4" s="6" t="inlineStr">
        <is>
          <t>Manufacturing_Overhead_Rate</t>
        </is>
      </c>
      <c r="B4" s="7" t="n">
        <v>2</v>
      </c>
      <c r="C4" s="6" t="inlineStr">
        <is>
          <t>Number</t>
        </is>
      </c>
      <c r="D4" s="6" t="inlineStr">
        <is>
          <t>YES</t>
        </is>
      </c>
      <c r="E4" s="6" t="inlineStr">
        <is>
          <t>ASSUMPTION: نرخ سربار تولید (× دستمزد مستقیم)</t>
        </is>
      </c>
    </row>
    <row r="5">
      <c r="A5" s="4" t="inlineStr">
        <is>
          <t>Scrap_Factor</t>
        </is>
      </c>
      <c r="B5" s="5" t="n">
        <v>0.02</v>
      </c>
      <c r="C5" s="4" t="inlineStr">
        <is>
          <t>Number</t>
        </is>
      </c>
      <c r="D5" s="4" t="inlineStr">
        <is>
          <t>YES</t>
        </is>
      </c>
      <c r="E5" s="4" t="inlineStr">
        <is>
          <t>ASSUMPTION: درصد ضایعات فرآیند</t>
        </is>
      </c>
    </row>
    <row r="6">
      <c r="A6" s="6" t="inlineStr">
        <is>
          <t>Financial_Cost_Rate_Annual</t>
        </is>
      </c>
      <c r="B6" s="7" t="n">
        <v>0.18</v>
      </c>
      <c r="C6" s="6" t="inlineStr">
        <is>
          <t>Number</t>
        </is>
      </c>
      <c r="D6" s="6" t="inlineStr">
        <is>
          <t>YES</t>
        </is>
      </c>
      <c r="E6" s="6" t="inlineStr">
        <is>
          <t>ASSUMPTION: نرخ هزینه مالی سالانه اعتبار</t>
        </is>
      </c>
    </row>
    <row r="7">
      <c r="A7" s="4" t="inlineStr">
        <is>
          <t>SG&amp;A_Rate</t>
        </is>
      </c>
      <c r="B7" s="5" t="n">
        <v>0.05</v>
      </c>
      <c r="C7" s="4" t="inlineStr">
        <is>
          <t>Number</t>
        </is>
      </c>
      <c r="D7" s="4" t="inlineStr">
        <is>
          <t>YES</t>
        </is>
      </c>
      <c r="E7" s="4" t="inlineStr">
        <is>
          <t>ASSUMPTION: نرخ اداری/فروش (در صورت اعمال سیاست)</t>
        </is>
      </c>
    </row>
    <row r="8">
      <c r="A8" s="6" t="inlineStr">
        <is>
          <t>Apply_SGA</t>
        </is>
      </c>
      <c r="B8" s="7" t="n">
        <v>1</v>
      </c>
      <c r="C8" s="6" t="inlineStr">
        <is>
          <t>Number</t>
        </is>
      </c>
      <c r="D8" s="6" t="inlineStr">
        <is>
          <t>YES</t>
        </is>
      </c>
      <c r="E8" s="6" t="inlineStr">
        <is>
          <t>1=اعمال SG&amp;A در Costing (سیاست سازمان)</t>
        </is>
      </c>
    </row>
    <row r="9">
      <c r="A9" s="4" t="inlineStr">
        <is>
          <t>Tooling_Cost_Per_Project</t>
        </is>
      </c>
      <c r="B9" s="5" t="n">
        <v>100000000</v>
      </c>
      <c r="C9" s="4" t="inlineStr">
        <is>
          <t>Number</t>
        </is>
      </c>
      <c r="D9" s="4" t="inlineStr">
        <is>
          <t>YES</t>
        </is>
      </c>
      <c r="E9" s="4" t="inlineStr">
        <is>
          <t>ASSUMPTION: هزینه قالب پروژه (تسهیم خطی)</t>
        </is>
      </c>
    </row>
    <row r="10">
      <c r="A10" s="6" t="inlineStr">
        <is>
          <t>Logistics_Base_Cost</t>
        </is>
      </c>
      <c r="B10" s="7" t="n">
        <v>150000000</v>
      </c>
      <c r="C10" s="6" t="inlineStr">
        <is>
          <t>Number</t>
        </is>
      </c>
      <c r="D10" s="6" t="inlineStr">
        <is>
          <t>YES</t>
        </is>
      </c>
      <c r="E10" s="6" t="inlineStr">
        <is>
          <t>ASSUMPTION: هزینه لجستیک پایه پروژه</t>
        </is>
      </c>
    </row>
    <row r="11">
      <c r="A11" s="4" t="inlineStr">
        <is>
          <t>Packaging_Unit_Cost</t>
        </is>
      </c>
      <c r="B11" s="5" t="n">
        <v>12000000</v>
      </c>
      <c r="C11" s="4" t="inlineStr">
        <is>
          <t>Number</t>
        </is>
      </c>
      <c r="D11" s="4" t="inlineStr">
        <is>
          <t>NO</t>
        </is>
      </c>
      <c r="E11" s="4" t="inlineStr">
        <is>
          <t>از قیمت تأمین‌کننده (MAT-001548)</t>
        </is>
      </c>
    </row>
    <row r="12">
      <c r="A12" s="6" t="inlineStr">
        <is>
          <t>Reporting_Currency</t>
        </is>
      </c>
      <c r="B12" s="7" t="inlineStr">
        <is>
          <t>IRR</t>
        </is>
      </c>
      <c r="C12" s="6" t="inlineStr">
        <is>
          <t>Text</t>
        </is>
      </c>
      <c r="D12" s="6" t="inlineStr">
        <is>
          <t>NO</t>
        </is>
      </c>
      <c r="E12" s="6" t="inlineStr">
        <is>
          <t>ارز گزارشگری</t>
        </is>
      </c>
    </row>
    <row r="13">
      <c r="A13" s="4" t="inlineStr">
        <is>
          <t>Fx_USD_TO_IRR</t>
        </is>
      </c>
      <c r="B13" s="5" t="n">
        <v>500000</v>
      </c>
      <c r="C13" s="4" t="inlineStr">
        <is>
          <t>Number</t>
        </is>
      </c>
      <c r="D13" s="4" t="inlineStr">
        <is>
          <t>YES</t>
        </is>
      </c>
      <c r="E13" s="4" t="inlineStr">
        <is>
          <t>ASSUMPTION: نرخ تبدیل USD→IRR</t>
        </is>
      </c>
    </row>
    <row r="14">
      <c r="A14" s="6" t="inlineStr">
        <is>
          <t>Stale_Price_Days</t>
        </is>
      </c>
      <c r="B14" s="7" t="n">
        <v>90</v>
      </c>
      <c r="C14" s="6" t="inlineStr">
        <is>
          <t>Number</t>
        </is>
      </c>
      <c r="D14" s="6" t="inlineStr">
        <is>
          <t>NO</t>
        </is>
      </c>
      <c r="E14" s="6" t="inlineStr">
        <is>
          <t>آستانه قیمت قدیمی (روز)</t>
        </is>
      </c>
    </row>
    <row r="15">
      <c r="A15" s="4" t="inlineStr">
        <is>
          <t>Max_Margin_Percent</t>
        </is>
      </c>
      <c r="B15" s="5" t="n">
        <v>0.35</v>
      </c>
      <c r="C15" s="4" t="inlineStr">
        <is>
          <t>Number</t>
        </is>
      </c>
      <c r="D15" s="4" t="inlineStr">
        <is>
          <t>NO</t>
        </is>
      </c>
      <c r="E15" s="4" t="inlineStr">
        <is>
          <t>سقف منطقی مارجین برای E-008</t>
        </is>
      </c>
    </row>
    <row r="16">
      <c r="A16" s="6" t="inlineStr">
        <is>
          <t>Default_Validity_Days</t>
        </is>
      </c>
      <c r="B16" s="7" t="n">
        <v>30</v>
      </c>
      <c r="C16" s="6" t="inlineStr">
        <is>
          <t>Number</t>
        </is>
      </c>
      <c r="D16" s="6" t="inlineStr">
        <is>
          <t>NO</t>
        </is>
      </c>
      <c r="E16" s="6" t="inlineStr">
        <is>
          <t>اعتبار پیش‌فرض پیشنهاد</t>
        </is>
      </c>
    </row>
    <row r="17">
      <c r="A17" s="4" t="inlineStr">
        <is>
          <t>Seq_Customer</t>
        </is>
      </c>
      <c r="B17" s="5" t="n">
        <v>3</v>
      </c>
      <c r="C17" s="4" t="inlineStr">
        <is>
          <t>Number</t>
        </is>
      </c>
      <c r="D17" s="4" t="inlineStr">
        <is>
          <t>NO</t>
        </is>
      </c>
      <c r="E17" s="4" t="inlineStr">
        <is>
          <t>شمارنده مشتری</t>
        </is>
      </c>
    </row>
    <row r="18">
      <c r="A18" s="6" t="inlineStr">
        <is>
          <t>Seq_Project</t>
        </is>
      </c>
      <c r="B18" s="7" t="n">
        <v>127</v>
      </c>
      <c r="C18" s="6" t="inlineStr">
        <is>
          <t>Number</t>
        </is>
      </c>
      <c r="D18" s="6" t="inlineStr">
        <is>
          <t>NO</t>
        </is>
      </c>
      <c r="E18" s="6" t="inlineStr">
        <is>
          <t>شمارنده پروژه</t>
        </is>
      </c>
    </row>
    <row r="19">
      <c r="A19" s="4" t="inlineStr">
        <is>
          <t>Seq_Order</t>
        </is>
      </c>
      <c r="B19" s="5" t="n">
        <v>323</v>
      </c>
      <c r="C19" s="4" t="inlineStr">
        <is>
          <t>Number</t>
        </is>
      </c>
      <c r="D19" s="4" t="inlineStr">
        <is>
          <t>NO</t>
        </is>
      </c>
      <c r="E19" s="4" t="inlineStr">
        <is>
          <t>شمارنده سفارش</t>
        </is>
      </c>
    </row>
    <row r="20">
      <c r="A20" s="6" t="inlineStr">
        <is>
          <t>Seq_Product</t>
        </is>
      </c>
      <c r="B20" s="7" t="n">
        <v>127</v>
      </c>
      <c r="C20" s="6" t="inlineStr">
        <is>
          <t>Number</t>
        </is>
      </c>
      <c r="D20" s="6" t="inlineStr">
        <is>
          <t>NO</t>
        </is>
      </c>
      <c r="E20" s="6" t="inlineStr">
        <is>
          <t>شمارنده محصول</t>
        </is>
      </c>
    </row>
    <row r="21">
      <c r="A21" s="4" t="inlineStr">
        <is>
          <t>Seq_Material</t>
        </is>
      </c>
      <c r="B21" s="5" t="n">
        <v>1549</v>
      </c>
      <c r="C21" s="4" t="inlineStr">
        <is>
          <t>Number</t>
        </is>
      </c>
      <c r="D21" s="4" t="inlineStr">
        <is>
          <t>NO</t>
        </is>
      </c>
      <c r="E21" s="4" t="inlineStr">
        <is>
          <t>شمارنده ماده</t>
        </is>
      </c>
    </row>
    <row r="22">
      <c r="A22" s="6" t="inlineStr">
        <is>
          <t>Seq_Supplier</t>
        </is>
      </c>
      <c r="B22" s="7" t="n">
        <v>91</v>
      </c>
      <c r="C22" s="6" t="inlineStr">
        <is>
          <t>Number</t>
        </is>
      </c>
      <c r="D22" s="6" t="inlineStr">
        <is>
          <t>NO</t>
        </is>
      </c>
      <c r="E22" s="6" t="inlineStr">
        <is>
          <t>شمارنده تأمین‌کننده</t>
        </is>
      </c>
    </row>
    <row r="23">
      <c r="A23" s="4" t="inlineStr">
        <is>
          <t>Seq_Quote</t>
        </is>
      </c>
      <c r="B23" s="5" t="n">
        <v>550</v>
      </c>
      <c r="C23" s="4" t="inlineStr">
        <is>
          <t>Number</t>
        </is>
      </c>
      <c r="D23" s="4" t="inlineStr">
        <is>
          <t>NO</t>
        </is>
      </c>
      <c r="E23" s="4" t="inlineStr">
        <is>
          <t>شمارنده استعلام</t>
        </is>
      </c>
    </row>
    <row r="24">
      <c r="A24" s="6" t="inlineStr">
        <is>
          <t>Seq_Quotation</t>
        </is>
      </c>
      <c r="B24" s="7" t="n">
        <v>126</v>
      </c>
      <c r="C24" s="6" t="inlineStr">
        <is>
          <t>Number</t>
        </is>
      </c>
      <c r="D24" s="6" t="inlineStr">
        <is>
          <t>NO</t>
        </is>
      </c>
      <c r="E24" s="6" t="inlineStr">
        <is>
          <t>شمارنده پیشنهاد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</cols>
  <sheetData>
    <row r="1">
      <c r="A1" s="1" t="inlineStr">
        <is>
          <t>Lists</t>
        </is>
      </c>
      <c r="B1" s="2" t="inlineStr">
        <is>
          <t>فهرست‌های Data Validation (داده‌های مجاز).</t>
        </is>
      </c>
    </row>
    <row r="2">
      <c r="A2" s="3" t="inlineStr">
        <is>
          <t>List_Name</t>
        </is>
      </c>
      <c r="B2" s="3" t="inlineStr">
        <is>
          <t>Value</t>
        </is>
      </c>
    </row>
    <row r="3">
      <c r="A3" s="4" t="inlineStr">
        <is>
          <t>UoM</t>
        </is>
      </c>
      <c r="B3" s="5" t="inlineStr">
        <is>
          <t>pcs</t>
        </is>
      </c>
    </row>
    <row r="4">
      <c r="A4" s="6" t="inlineStr">
        <is>
          <t>UoM</t>
        </is>
      </c>
      <c r="B4" s="7" t="inlineStr">
        <is>
          <t>kg</t>
        </is>
      </c>
    </row>
    <row r="5">
      <c r="A5" s="4" t="inlineStr">
        <is>
          <t>UoM</t>
        </is>
      </c>
      <c r="B5" s="5" t="inlineStr">
        <is>
          <t>m</t>
        </is>
      </c>
    </row>
    <row r="6">
      <c r="A6" s="6" t="inlineStr">
        <is>
          <t>UoM</t>
        </is>
      </c>
      <c r="B6" s="7" t="inlineStr">
        <is>
          <t>m2</t>
        </is>
      </c>
    </row>
    <row r="7">
      <c r="A7" s="4" t="inlineStr">
        <is>
          <t>UoM</t>
        </is>
      </c>
      <c r="B7" s="5" t="inlineStr">
        <is>
          <t>liter</t>
        </is>
      </c>
    </row>
    <row r="8">
      <c r="A8" s="6" t="inlineStr">
        <is>
          <t>UoM</t>
        </is>
      </c>
      <c r="B8" s="7" t="inlineStr">
        <is>
          <t>set</t>
        </is>
      </c>
    </row>
    <row r="9">
      <c r="A9" s="4" t="inlineStr">
        <is>
          <t>UoM</t>
        </is>
      </c>
      <c r="B9" s="5" t="inlineStr">
        <is>
          <t>ton</t>
        </is>
      </c>
    </row>
    <row r="10">
      <c r="A10" s="6" t="inlineStr">
        <is>
          <t>Currency</t>
        </is>
      </c>
      <c r="B10" s="7" t="inlineStr">
        <is>
          <t>IRR</t>
        </is>
      </c>
    </row>
    <row r="11">
      <c r="A11" s="4" t="inlineStr">
        <is>
          <t>Currency</t>
        </is>
      </c>
      <c r="B11" s="5" t="inlineStr">
        <is>
          <t>USD</t>
        </is>
      </c>
    </row>
    <row r="12">
      <c r="A12" s="6" t="inlineStr">
        <is>
          <t>Currency</t>
        </is>
      </c>
      <c r="B12" s="7" t="inlineStr">
        <is>
          <t>EUR</t>
        </is>
      </c>
    </row>
    <row r="13">
      <c r="A13" s="4" t="inlineStr">
        <is>
          <t>Material_Type</t>
        </is>
      </c>
      <c r="B13" s="5" t="inlineStr">
        <is>
          <t>Raw Material</t>
        </is>
      </c>
    </row>
    <row r="14">
      <c r="A14" s="6" t="inlineStr">
        <is>
          <t>Material_Type</t>
        </is>
      </c>
      <c r="B14" s="7" t="inlineStr">
        <is>
          <t>Purchased Part</t>
        </is>
      </c>
    </row>
    <row r="15">
      <c r="A15" s="4" t="inlineStr">
        <is>
          <t>Material_Type</t>
        </is>
      </c>
      <c r="B15" s="5" t="inlineStr">
        <is>
          <t>Assembly</t>
        </is>
      </c>
    </row>
    <row r="16">
      <c r="A16" s="6" t="inlineStr">
        <is>
          <t>Material_Type</t>
        </is>
      </c>
      <c r="B16" s="7" t="inlineStr">
        <is>
          <t>Sub Assembly</t>
        </is>
      </c>
    </row>
    <row r="17">
      <c r="A17" s="4" t="inlineStr">
        <is>
          <t>Material_Type</t>
        </is>
      </c>
      <c r="B17" s="5" t="inlineStr">
        <is>
          <t>Packaging</t>
        </is>
      </c>
    </row>
    <row r="18">
      <c r="A18" s="6" t="inlineStr">
        <is>
          <t>Material_Type</t>
        </is>
      </c>
      <c r="B18" s="7" t="inlineStr">
        <is>
          <t>Consumable</t>
        </is>
      </c>
    </row>
    <row r="19">
      <c r="A19" s="4" t="inlineStr">
        <is>
          <t>Make_Buy</t>
        </is>
      </c>
      <c r="B19" s="5" t="inlineStr">
        <is>
          <t>Make</t>
        </is>
      </c>
    </row>
    <row r="20">
      <c r="A20" s="6" t="inlineStr">
        <is>
          <t>Make_Buy</t>
        </is>
      </c>
      <c r="B20" s="7" t="inlineStr">
        <is>
          <t>Buy</t>
        </is>
      </c>
    </row>
    <row r="21">
      <c r="A21" s="4" t="inlineStr">
        <is>
          <t>Order_Type</t>
        </is>
      </c>
      <c r="B21" s="5" t="inlineStr">
        <is>
          <t>New</t>
        </is>
      </c>
    </row>
    <row r="22">
      <c r="A22" s="6" t="inlineStr">
        <is>
          <t>Order_Type</t>
        </is>
      </c>
      <c r="B22" s="7" t="inlineStr">
        <is>
          <t>Repeat</t>
        </is>
      </c>
    </row>
    <row r="23">
      <c r="A23" s="4" t="inlineStr">
        <is>
          <t>Order_Type</t>
        </is>
      </c>
      <c r="B23" s="5" t="inlineStr">
        <is>
          <t>Amendment</t>
        </is>
      </c>
    </row>
    <row r="24">
      <c r="A24" s="6" t="inlineStr">
        <is>
          <t>Confidentiality</t>
        </is>
      </c>
      <c r="B24" s="7" t="inlineStr">
        <is>
          <t>Public</t>
        </is>
      </c>
    </row>
    <row r="25">
      <c r="A25" s="4" t="inlineStr">
        <is>
          <t>Confidentiality</t>
        </is>
      </c>
      <c r="B25" s="5" t="inlineStr">
        <is>
          <t>Internal</t>
        </is>
      </c>
    </row>
    <row r="26">
      <c r="A26" s="6" t="inlineStr">
        <is>
          <t>Confidentiality</t>
        </is>
      </c>
      <c r="B26" s="7" t="inlineStr">
        <is>
          <t>Confidential</t>
        </is>
      </c>
    </row>
    <row r="27">
      <c r="A27" s="4" t="inlineStr">
        <is>
          <t>Confidentiality</t>
        </is>
      </c>
      <c r="B27" s="5" t="inlineStr">
        <is>
          <t>Strictly Confidential</t>
        </is>
      </c>
    </row>
    <row r="28">
      <c r="A28" s="6" t="inlineStr">
        <is>
          <t>Priority</t>
        </is>
      </c>
      <c r="B28" s="7" t="inlineStr">
        <is>
          <t>Low</t>
        </is>
      </c>
    </row>
    <row r="29">
      <c r="A29" s="4" t="inlineStr">
        <is>
          <t>Priority</t>
        </is>
      </c>
      <c r="B29" s="5" t="inlineStr">
        <is>
          <t>Medium</t>
        </is>
      </c>
    </row>
    <row r="30">
      <c r="A30" s="6" t="inlineStr">
        <is>
          <t>Priority</t>
        </is>
      </c>
      <c r="B30" s="7" t="inlineStr">
        <is>
          <t>High</t>
        </is>
      </c>
    </row>
    <row r="31">
      <c r="A31" s="4" t="inlineStr">
        <is>
          <t>Priority</t>
        </is>
      </c>
      <c r="B31" s="5" t="inlineStr">
        <is>
          <t>Critical</t>
        </is>
      </c>
    </row>
    <row r="32">
      <c r="A32" s="6" t="inlineStr">
        <is>
          <t>Decision</t>
        </is>
      </c>
      <c r="B32" s="7" t="inlineStr">
        <is>
          <t>APPROVED</t>
        </is>
      </c>
    </row>
    <row r="33">
      <c r="A33" s="4" t="inlineStr">
        <is>
          <t>Decision</t>
        </is>
      </c>
      <c r="B33" s="5" t="inlineStr">
        <is>
          <t>APPROVED WITH CONDITION</t>
        </is>
      </c>
    </row>
    <row r="34">
      <c r="A34" s="6" t="inlineStr">
        <is>
          <t>Decision</t>
        </is>
      </c>
      <c r="B34" s="7" t="inlineStr">
        <is>
          <t>RETURN FOR REVISION</t>
        </is>
      </c>
    </row>
    <row r="35">
      <c r="A35" s="4" t="inlineStr">
        <is>
          <t>Decision</t>
        </is>
      </c>
      <c r="B35" s="5" t="inlineStr">
        <is>
          <t>REJECTED</t>
        </is>
      </c>
    </row>
    <row r="36">
      <c r="A36" s="6" t="inlineStr">
        <is>
          <t>Stage</t>
        </is>
      </c>
      <c r="B36" s="7" t="inlineStr">
        <is>
          <t>Sales</t>
        </is>
      </c>
    </row>
    <row r="37">
      <c r="A37" s="4" t="inlineStr">
        <is>
          <t>Stage</t>
        </is>
      </c>
      <c r="B37" s="5" t="inlineStr">
        <is>
          <t>Engineering</t>
        </is>
      </c>
    </row>
    <row r="38">
      <c r="A38" s="6" t="inlineStr">
        <is>
          <t>Stage</t>
        </is>
      </c>
      <c r="B38" s="7" t="inlineStr">
        <is>
          <t>Planning</t>
        </is>
      </c>
    </row>
    <row r="39">
      <c r="A39" s="4" t="inlineStr">
        <is>
          <t>Stage</t>
        </is>
      </c>
      <c r="B39" s="5" t="inlineStr">
        <is>
          <t>Procurement</t>
        </is>
      </c>
    </row>
    <row r="40">
      <c r="A40" s="6" t="inlineStr">
        <is>
          <t>Stage</t>
        </is>
      </c>
      <c r="B40" s="7" t="inlineStr">
        <is>
          <t>Finance</t>
        </is>
      </c>
    </row>
    <row r="41">
      <c r="A41" s="4" t="inlineStr">
        <is>
          <t>Stage</t>
        </is>
      </c>
      <c r="B41" s="5" t="inlineStr">
        <is>
          <t>Management</t>
        </is>
      </c>
    </row>
    <row r="42">
      <c r="A42" s="6" t="inlineStr">
        <is>
          <t>Stage_Status</t>
        </is>
      </c>
      <c r="B42" s="7" t="inlineStr">
        <is>
          <t>Completed</t>
        </is>
      </c>
    </row>
    <row r="43">
      <c r="A43" s="4" t="inlineStr">
        <is>
          <t>Stage_Status</t>
        </is>
      </c>
      <c r="B43" s="5" t="inlineStr">
        <is>
          <t>In Progress</t>
        </is>
      </c>
    </row>
    <row r="44">
      <c r="A44" s="6" t="inlineStr">
        <is>
          <t>Stage_Status</t>
        </is>
      </c>
      <c r="B44" s="7" t="inlineStr">
        <is>
          <t>Pending</t>
        </is>
      </c>
    </row>
    <row r="45">
      <c r="A45" s="4" t="inlineStr">
        <is>
          <t>Stage_Status</t>
        </is>
      </c>
      <c r="B45" s="5" t="inlineStr">
        <is>
          <t>Not Started</t>
        </is>
      </c>
    </row>
    <row r="46">
      <c r="A46" s="6" t="inlineStr">
        <is>
          <t>Stage_Status</t>
        </is>
      </c>
      <c r="B46" s="7" t="inlineStr">
        <is>
          <t>Blocked</t>
        </is>
      </c>
    </row>
    <row r="47">
      <c r="A47" s="4" t="inlineStr">
        <is>
          <t>Schedule_Status</t>
        </is>
      </c>
      <c r="B47" s="5" t="inlineStr">
        <is>
          <t>Not Started</t>
        </is>
      </c>
    </row>
    <row r="48">
      <c r="A48" s="6" t="inlineStr">
        <is>
          <t>Schedule_Status</t>
        </is>
      </c>
      <c r="B48" s="7" t="inlineStr">
        <is>
          <t>In Progress</t>
        </is>
      </c>
    </row>
    <row r="49">
      <c r="A49" s="4" t="inlineStr">
        <is>
          <t>Schedule_Status</t>
        </is>
      </c>
      <c r="B49" s="5" t="inlineStr">
        <is>
          <t>Done</t>
        </is>
      </c>
    </row>
    <row r="50">
      <c r="A50" s="6" t="inlineStr">
        <is>
          <t>Schedule_Status</t>
        </is>
      </c>
      <c r="B50" s="7" t="inlineStr">
        <is>
          <t>Delayed</t>
        </is>
      </c>
    </row>
    <row r="51">
      <c r="A51" s="4" t="inlineStr">
        <is>
          <t>Incoterm</t>
        </is>
      </c>
      <c r="B51" s="5" t="inlineStr">
        <is>
          <t>EXW</t>
        </is>
      </c>
    </row>
    <row r="52">
      <c r="A52" s="6" t="inlineStr">
        <is>
          <t>Incoterm</t>
        </is>
      </c>
      <c r="B52" s="7" t="inlineStr">
        <is>
          <t>FCA</t>
        </is>
      </c>
    </row>
    <row r="53">
      <c r="A53" s="4" t="inlineStr">
        <is>
          <t>Incoterm</t>
        </is>
      </c>
      <c r="B53" s="5" t="inlineStr">
        <is>
          <t>CPT</t>
        </is>
      </c>
    </row>
    <row r="54">
      <c r="A54" s="6" t="inlineStr">
        <is>
          <t>Incoterm</t>
        </is>
      </c>
      <c r="B54" s="7" t="inlineStr">
        <is>
          <t>CIP</t>
        </is>
      </c>
    </row>
    <row r="55">
      <c r="A55" s="4" t="inlineStr">
        <is>
          <t>Incoterm</t>
        </is>
      </c>
      <c r="B55" s="5" t="inlineStr">
        <is>
          <t>DAP</t>
        </is>
      </c>
    </row>
    <row r="56">
      <c r="A56" s="6" t="inlineStr">
        <is>
          <t>Incoterm</t>
        </is>
      </c>
      <c r="B56" s="7" t="inlineStr">
        <is>
          <t>DDP</t>
        </is>
      </c>
    </row>
    <row r="57">
      <c r="A57" s="4" t="inlineStr">
        <is>
          <t>Payment_Risk</t>
        </is>
      </c>
      <c r="B57" s="5" t="inlineStr">
        <is>
          <t>Low</t>
        </is>
      </c>
    </row>
    <row r="58">
      <c r="A58" s="6" t="inlineStr">
        <is>
          <t>Payment_Risk</t>
        </is>
      </c>
      <c r="B58" s="7" t="inlineStr">
        <is>
          <t>Medium</t>
        </is>
      </c>
    </row>
    <row r="59">
      <c r="A59" s="4" t="inlineStr">
        <is>
          <t>Payment_Risk</t>
        </is>
      </c>
      <c r="B59" s="5" t="inlineStr">
        <is>
          <t>High</t>
        </is>
      </c>
    </row>
    <row r="60">
      <c r="A60" s="6" t="inlineStr">
        <is>
          <t>YesNo</t>
        </is>
      </c>
      <c r="B60" s="7" t="inlineStr">
        <is>
          <t>Yes</t>
        </is>
      </c>
    </row>
    <row r="61">
      <c r="A61" s="4" t="inlineStr">
        <is>
          <t>YesNo</t>
        </is>
      </c>
      <c r="B61" s="5" t="inlineStr">
        <is>
          <t>No</t>
        </is>
      </c>
    </row>
    <row r="62">
      <c r="A62" s="6" t="inlineStr">
        <is>
          <t>Issue_Status</t>
        </is>
      </c>
      <c r="B62" s="7" t="inlineStr">
        <is>
          <t>Open</t>
        </is>
      </c>
    </row>
    <row r="63">
      <c r="A63" s="4" t="inlineStr">
        <is>
          <t>Issue_Status</t>
        </is>
      </c>
      <c r="B63" s="5" t="inlineStr">
        <is>
          <t>In Progress</t>
        </is>
      </c>
    </row>
    <row r="64">
      <c r="A64" s="6" t="inlineStr">
        <is>
          <t>Issue_Status</t>
        </is>
      </c>
      <c r="B64" s="7" t="inlineStr">
        <is>
          <t>Closed</t>
        </is>
      </c>
    </row>
    <row r="65">
      <c r="A65" s="4" t="inlineStr">
        <is>
          <t>Quote_Confirm_Status</t>
        </is>
      </c>
      <c r="B65" s="5" t="inlineStr">
        <is>
          <t>Quoted</t>
        </is>
      </c>
    </row>
    <row r="66">
      <c r="A66" s="6" t="inlineStr">
        <is>
          <t>Quote_Confirm_Status</t>
        </is>
      </c>
      <c r="B66" s="7" t="inlineStr">
        <is>
          <t>Confirmed</t>
        </is>
      </c>
    </row>
    <row r="67">
      <c r="A67" s="4" t="inlineStr">
        <is>
          <t>Quote_Confirm_Status</t>
        </is>
      </c>
      <c r="B67" s="5" t="inlineStr">
        <is>
          <t>Revoked</t>
        </is>
      </c>
    </row>
    <row r="68">
      <c r="A68" s="6" t="inlineStr">
        <is>
          <t>Price_Status</t>
        </is>
      </c>
      <c r="B68" s="7" t="inlineStr">
        <is>
          <t>Approved</t>
        </is>
      </c>
    </row>
    <row r="69">
      <c r="A69" s="4" t="inlineStr">
        <is>
          <t>Price_Status</t>
        </is>
      </c>
      <c r="B69" s="5" t="inlineStr">
        <is>
          <t>Repriced</t>
        </is>
      </c>
    </row>
    <row r="70">
      <c r="A70" s="6" t="inlineStr">
        <is>
          <t>Price_Status</t>
        </is>
      </c>
      <c r="B70" s="7" t="inlineStr">
        <is>
          <t>Expired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1" customWidth="1" min="4" max="4"/>
  </cols>
  <sheetData>
    <row r="1">
      <c r="A1" s="1" t="inlineStr">
        <is>
          <t>Statuses</t>
        </is>
      </c>
      <c r="B1" s="2" t="inlineStr">
        <is>
          <t>وضعیت سراسری (Universal Status) — همه جداول از این فهرست استفاده می‌کنند.</t>
        </is>
      </c>
    </row>
    <row r="2">
      <c r="A2" s="3" t="inlineStr">
        <is>
          <t>Status_ID</t>
        </is>
      </c>
      <c r="B2" s="3" t="inlineStr">
        <is>
          <t>Status_Name</t>
        </is>
      </c>
      <c r="C2" s="3" t="inlineStr">
        <is>
          <t>Status_Group</t>
        </is>
      </c>
      <c r="D2" s="3" t="inlineStr">
        <is>
          <t>Sequence</t>
        </is>
      </c>
    </row>
    <row r="3">
      <c r="A3" s="4" t="inlineStr">
        <is>
          <t>ST-01</t>
        </is>
      </c>
      <c r="B3" s="4" t="inlineStr">
        <is>
          <t>Draft</t>
        </is>
      </c>
      <c r="C3" s="4" t="inlineStr">
        <is>
          <t>Draft</t>
        </is>
      </c>
      <c r="D3" s="8" t="n">
        <v>1</v>
      </c>
    </row>
    <row r="4">
      <c r="A4" s="6" t="inlineStr">
        <is>
          <t>ST-02</t>
        </is>
      </c>
      <c r="B4" s="6" t="inlineStr">
        <is>
          <t>In Review</t>
        </is>
      </c>
      <c r="C4" s="6" t="inlineStr">
        <is>
          <t>Review</t>
        </is>
      </c>
      <c r="D4" s="9" t="n">
        <v>2</v>
      </c>
    </row>
    <row r="5">
      <c r="A5" s="4" t="inlineStr">
        <is>
          <t>ST-03</t>
        </is>
      </c>
      <c r="B5" s="4" t="inlineStr">
        <is>
          <t>Waiting Approval</t>
        </is>
      </c>
      <c r="C5" s="4" t="inlineStr">
        <is>
          <t>Approval</t>
        </is>
      </c>
      <c r="D5" s="8" t="n">
        <v>3</v>
      </c>
    </row>
    <row r="6">
      <c r="A6" s="6" t="inlineStr">
        <is>
          <t>ST-04</t>
        </is>
      </c>
      <c r="B6" s="6" t="inlineStr">
        <is>
          <t>Approved</t>
        </is>
      </c>
      <c r="C6" s="6" t="inlineStr">
        <is>
          <t>Approved</t>
        </is>
      </c>
      <c r="D6" s="9" t="n">
        <v>4</v>
      </c>
    </row>
    <row r="7">
      <c r="A7" s="4" t="inlineStr">
        <is>
          <t>ST-05</t>
        </is>
      </c>
      <c r="B7" s="4" t="inlineStr">
        <is>
          <t>Rejected</t>
        </is>
      </c>
      <c r="C7" s="4" t="inlineStr">
        <is>
          <t>Rejected</t>
        </is>
      </c>
      <c r="D7" s="8" t="n">
        <v>5</v>
      </c>
    </row>
    <row r="8">
      <c r="A8" s="6" t="inlineStr">
        <is>
          <t>ST-06</t>
        </is>
      </c>
      <c r="B8" s="6" t="inlineStr">
        <is>
          <t>Returned</t>
        </is>
      </c>
      <c r="C8" s="6" t="inlineStr">
        <is>
          <t>Rejected</t>
        </is>
      </c>
      <c r="D8" s="9" t="n">
        <v>6</v>
      </c>
    </row>
    <row r="9">
      <c r="A9" s="4" t="inlineStr">
        <is>
          <t>ST-07</t>
        </is>
      </c>
      <c r="B9" s="4" t="inlineStr">
        <is>
          <t>Closed</t>
        </is>
      </c>
      <c r="C9" s="4" t="inlineStr">
        <is>
          <t>Closed</t>
        </is>
      </c>
      <c r="D9" s="8" t="n">
        <v>7</v>
      </c>
    </row>
    <row r="10">
      <c r="A10" s="6" t="inlineStr">
        <is>
          <t>ST-08</t>
        </is>
      </c>
      <c r="B10" s="6" t="inlineStr">
        <is>
          <t>Cancelled</t>
        </is>
      </c>
      <c r="C10" s="6" t="inlineStr">
        <is>
          <t>Closed</t>
        </is>
      </c>
      <c r="D10" s="9" t="n">
        <v>8</v>
      </c>
    </row>
  </sheetData>
  <dataValidations count="1">
    <dataValidation sqref="A3:A10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Departments</t>
        </is>
      </c>
    </row>
    <row r="2">
      <c r="A2" s="3" t="inlineStr">
        <is>
          <t>Department_ID</t>
        </is>
      </c>
      <c r="B2" s="3" t="inlineStr">
        <is>
          <t>Department_Name</t>
        </is>
      </c>
    </row>
    <row r="3">
      <c r="A3" s="4" t="inlineStr">
        <is>
          <t>DEP-01</t>
        </is>
      </c>
      <c r="B3" s="4" t="inlineStr">
        <is>
          <t>Sales</t>
        </is>
      </c>
    </row>
    <row r="4">
      <c r="A4" s="6" t="inlineStr">
        <is>
          <t>DEP-02</t>
        </is>
      </c>
      <c r="B4" s="6" t="inlineStr">
        <is>
          <t>Engineering</t>
        </is>
      </c>
    </row>
    <row r="5">
      <c r="A5" s="4" t="inlineStr">
        <is>
          <t>DEP-03</t>
        </is>
      </c>
      <c r="B5" s="4" t="inlineStr">
        <is>
          <t>Planning</t>
        </is>
      </c>
    </row>
    <row r="6">
      <c r="A6" s="6" t="inlineStr">
        <is>
          <t>DEP-04</t>
        </is>
      </c>
      <c r="B6" s="6" t="inlineStr">
        <is>
          <t>Procurement</t>
        </is>
      </c>
    </row>
    <row r="7">
      <c r="A7" s="4" t="inlineStr">
        <is>
          <t>DEP-05</t>
        </is>
      </c>
      <c r="B7" s="4" t="inlineStr">
        <is>
          <t>Finance</t>
        </is>
      </c>
    </row>
    <row r="8">
      <c r="A8" s="6" t="inlineStr">
        <is>
          <t>DEP-06</t>
        </is>
      </c>
      <c r="B8" s="6" t="inlineStr">
        <is>
          <t>PMO</t>
        </is>
      </c>
    </row>
    <row r="9">
      <c r="A9" s="4" t="inlineStr">
        <is>
          <t>DEP-07</t>
        </is>
      </c>
      <c r="B9" s="4" t="inlineStr">
        <is>
          <t>Management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Roles</t>
        </is>
      </c>
    </row>
    <row r="2">
      <c r="A2" s="3" t="inlineStr">
        <is>
          <t>Role_ID</t>
        </is>
      </c>
      <c r="B2" s="3" t="inlineStr">
        <is>
          <t>Role_Name</t>
        </is>
      </c>
    </row>
    <row r="3">
      <c r="A3" s="4" t="inlineStr">
        <is>
          <t>ROL-01</t>
        </is>
      </c>
      <c r="B3" s="4" t="inlineStr">
        <is>
          <t>Sales Manager</t>
        </is>
      </c>
    </row>
    <row r="4">
      <c r="A4" s="6" t="inlineStr">
        <is>
          <t>ROL-02</t>
        </is>
      </c>
      <c r="B4" s="6" t="inlineStr">
        <is>
          <t>Sales Rep</t>
        </is>
      </c>
    </row>
    <row r="5">
      <c r="A5" s="4" t="inlineStr">
        <is>
          <t>ROL-03</t>
        </is>
      </c>
      <c r="B5" s="4" t="inlineStr">
        <is>
          <t>Project Manager</t>
        </is>
      </c>
    </row>
    <row r="6">
      <c r="A6" s="6" t="inlineStr">
        <is>
          <t>ROL-04</t>
        </is>
      </c>
      <c r="B6" s="6" t="inlineStr">
        <is>
          <t>Engineering Lead</t>
        </is>
      </c>
    </row>
    <row r="7">
      <c r="A7" s="4" t="inlineStr">
        <is>
          <t>ROL-05</t>
        </is>
      </c>
      <c r="B7" s="4" t="inlineStr">
        <is>
          <t>Planning Manager</t>
        </is>
      </c>
    </row>
    <row r="8">
      <c r="A8" s="6" t="inlineStr">
        <is>
          <t>ROL-06</t>
        </is>
      </c>
      <c r="B8" s="6" t="inlineStr">
        <is>
          <t>Procurement Manager</t>
        </is>
      </c>
    </row>
    <row r="9">
      <c r="A9" s="4" t="inlineStr">
        <is>
          <t>ROL-07</t>
        </is>
      </c>
      <c r="B9" s="4" t="inlineStr">
        <is>
          <t>Finance Manager</t>
        </is>
      </c>
    </row>
    <row r="10">
      <c r="A10" s="6" t="inlineStr">
        <is>
          <t>ROL-08</t>
        </is>
      </c>
      <c r="B10" s="6" t="inlineStr">
        <is>
          <t>Senior Management</t>
        </is>
      </c>
    </row>
    <row r="11">
      <c r="A11" s="4" t="inlineStr">
        <is>
          <t>ROL-09</t>
        </is>
      </c>
      <c r="B11" s="4" t="inlineStr">
        <is>
          <t>Admin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1" customWidth="1" min="4" max="4"/>
    <col width="11" customWidth="1" min="5" max="5"/>
    <col width="18" customWidth="1" min="6" max="6"/>
    <col width="12" customWidth="1" min="7" max="7"/>
  </cols>
  <sheetData>
    <row r="1">
      <c r="A1" s="1" t="inlineStr">
        <is>
          <t>Users</t>
        </is>
      </c>
      <c r="B1" s="2" t="inlineStr">
        <is>
          <t>کاربران سازمانی؛ Approval_Level پایه ماتریس تأیید است.</t>
        </is>
      </c>
    </row>
    <row r="2">
      <c r="A2" s="3" t="inlineStr">
        <is>
          <t>User_ID</t>
        </is>
      </c>
      <c r="B2" s="3" t="inlineStr">
        <is>
          <t>Name</t>
        </is>
      </c>
      <c r="C2" s="3" t="inlineStr">
        <is>
          <t>Department_ID</t>
        </is>
      </c>
      <c r="D2" s="3" t="inlineStr">
        <is>
          <t>Role_ID</t>
        </is>
      </c>
      <c r="E2" s="3" t="inlineStr">
        <is>
          <t>Email</t>
        </is>
      </c>
      <c r="F2" s="3" t="inlineStr">
        <is>
          <t>Approval_Level</t>
        </is>
      </c>
      <c r="G2" s="3" t="inlineStr">
        <is>
          <t>Is_Active</t>
        </is>
      </c>
    </row>
    <row r="3">
      <c r="A3" s="4" t="inlineStr">
        <is>
          <t>USR-01</t>
        </is>
      </c>
      <c r="B3" s="4" t="inlineStr">
        <is>
          <t>Babak A</t>
        </is>
      </c>
      <c r="C3" s="4" t="inlineStr">
        <is>
          <t>DEP-01</t>
        </is>
      </c>
      <c r="D3" s="4" t="inlineStr">
        <is>
          <t>ROL-01</t>
        </is>
      </c>
      <c r="E3" s="4" t="inlineStr">
        <is>
          <t>babak@example.com</t>
        </is>
      </c>
      <c r="F3" s="8" t="n">
        <v>2</v>
      </c>
      <c r="G3" s="4" t="n">
        <v>1</v>
      </c>
    </row>
    <row r="4">
      <c r="A4" s="6" t="inlineStr">
        <is>
          <t>USR-02</t>
        </is>
      </c>
      <c r="B4" s="6" t="inlineStr">
        <is>
          <t>Sara S</t>
        </is>
      </c>
      <c r="C4" s="6" t="inlineStr">
        <is>
          <t>DEP-01</t>
        </is>
      </c>
      <c r="D4" s="6" t="inlineStr">
        <is>
          <t>ROL-02</t>
        </is>
      </c>
      <c r="E4" s="6" t="inlineStr">
        <is>
          <t>sara@example.com</t>
        </is>
      </c>
      <c r="F4" s="9" t="n">
        <v>1</v>
      </c>
      <c r="G4" s="6" t="n">
        <v>1</v>
      </c>
    </row>
    <row r="5">
      <c r="A5" s="4" t="inlineStr">
        <is>
          <t>USR-03</t>
        </is>
      </c>
      <c r="B5" s="4" t="inlineStr">
        <is>
          <t>Reza M</t>
        </is>
      </c>
      <c r="C5" s="4" t="inlineStr">
        <is>
          <t>DEP-06</t>
        </is>
      </c>
      <c r="D5" s="4" t="inlineStr">
        <is>
          <t>ROL-03</t>
        </is>
      </c>
      <c r="E5" s="4" t="inlineStr">
        <is>
          <t>reza@example.com</t>
        </is>
      </c>
      <c r="F5" s="8" t="n">
        <v>3</v>
      </c>
      <c r="G5" s="4" t="n">
        <v>1</v>
      </c>
    </row>
    <row r="6">
      <c r="A6" s="6" t="inlineStr">
        <is>
          <t>USR-04</t>
        </is>
      </c>
      <c r="B6" s="6" t="inlineStr">
        <is>
          <t>Neda E</t>
        </is>
      </c>
      <c r="C6" s="6" t="inlineStr">
        <is>
          <t>DEP-02</t>
        </is>
      </c>
      <c r="D6" s="6" t="inlineStr">
        <is>
          <t>ROL-04</t>
        </is>
      </c>
      <c r="E6" s="6" t="inlineStr">
        <is>
          <t>neda@example.com</t>
        </is>
      </c>
      <c r="F6" s="9" t="n">
        <v>3</v>
      </c>
      <c r="G6" s="6" t="n">
        <v>1</v>
      </c>
    </row>
    <row r="7">
      <c r="A7" s="4" t="inlineStr">
        <is>
          <t>USR-05</t>
        </is>
      </c>
      <c r="B7" s="4" t="inlineStr">
        <is>
          <t>Kaveh P</t>
        </is>
      </c>
      <c r="C7" s="4" t="inlineStr">
        <is>
          <t>DEP-03</t>
        </is>
      </c>
      <c r="D7" s="4" t="inlineStr">
        <is>
          <t>ROL-05</t>
        </is>
      </c>
      <c r="E7" s="4" t="inlineStr">
        <is>
          <t>kaveh@example.com</t>
        </is>
      </c>
      <c r="F7" s="8" t="n">
        <v>2</v>
      </c>
      <c r="G7" s="4" t="n">
        <v>1</v>
      </c>
    </row>
    <row r="8">
      <c r="A8" s="6" t="inlineStr">
        <is>
          <t>USR-06</t>
        </is>
      </c>
      <c r="B8" s="6" t="inlineStr">
        <is>
          <t>Mina T</t>
        </is>
      </c>
      <c r="C8" s="6" t="inlineStr">
        <is>
          <t>DEP-04</t>
        </is>
      </c>
      <c r="D8" s="6" t="inlineStr">
        <is>
          <t>ROL-06</t>
        </is>
      </c>
      <c r="E8" s="6" t="inlineStr">
        <is>
          <t>mina@example.com</t>
        </is>
      </c>
      <c r="F8" s="9" t="n">
        <v>3</v>
      </c>
      <c r="G8" s="6" t="n">
        <v>1</v>
      </c>
    </row>
    <row r="9">
      <c r="A9" s="4" t="inlineStr">
        <is>
          <t>USR-07</t>
        </is>
      </c>
      <c r="B9" s="4" t="inlineStr">
        <is>
          <t>Ali F</t>
        </is>
      </c>
      <c r="C9" s="4" t="inlineStr">
        <is>
          <t>DEP-05</t>
        </is>
      </c>
      <c r="D9" s="4" t="inlineStr">
        <is>
          <t>ROL-07</t>
        </is>
      </c>
      <c r="E9" s="4" t="inlineStr">
        <is>
          <t>ali@example.com</t>
        </is>
      </c>
      <c r="F9" s="8" t="n">
        <v>4</v>
      </c>
      <c r="G9" s="4" t="n">
        <v>1</v>
      </c>
    </row>
    <row r="10">
      <c r="A10" s="6" t="inlineStr">
        <is>
          <t>USR-08</t>
        </is>
      </c>
      <c r="B10" s="6" t="inlineStr">
        <is>
          <t>Borna G</t>
        </is>
      </c>
      <c r="C10" s="6" t="inlineStr">
        <is>
          <t>DEP-07</t>
        </is>
      </c>
      <c r="D10" s="6" t="inlineStr">
        <is>
          <t>ROL-08</t>
        </is>
      </c>
      <c r="E10" s="6" t="inlineStr">
        <is>
          <t>borna@example.com</t>
        </is>
      </c>
      <c r="F10" s="9" t="n">
        <v>5</v>
      </c>
      <c r="G10" s="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22" customWidth="1" min="4" max="4"/>
    <col width="14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Approval_Matrix</t>
        </is>
      </c>
    </row>
    <row r="2">
      <c r="A2" s="3" t="inlineStr">
        <is>
          <t>Entity</t>
        </is>
      </c>
      <c r="B2" s="3" t="inlineStr">
        <is>
          <t>Gate</t>
        </is>
      </c>
      <c r="C2" s="3" t="inlineStr">
        <is>
          <t>Approver_Role</t>
        </is>
      </c>
      <c r="D2" s="3" t="inlineStr">
        <is>
          <t>Min_Approval_Level</t>
        </is>
      </c>
      <c r="E2" s="3" t="inlineStr">
        <is>
          <t>Responsible</t>
        </is>
      </c>
      <c r="F2" s="3" t="inlineStr">
        <is>
          <t>Reviewer</t>
        </is>
      </c>
      <c r="G2" s="3" t="inlineStr">
        <is>
          <t>Approver</t>
        </is>
      </c>
      <c r="H2" s="3" t="inlineStr">
        <is>
          <t>Informed</t>
        </is>
      </c>
    </row>
    <row r="3">
      <c r="A3" s="4" t="inlineStr">
        <is>
          <t>Order</t>
        </is>
      </c>
      <c r="B3" s="4" t="inlineStr">
        <is>
          <t>Sales Review</t>
        </is>
      </c>
      <c r="C3" s="4" t="inlineStr">
        <is>
          <t>ROL-01</t>
        </is>
      </c>
      <c r="D3" s="8" t="n">
        <v>2</v>
      </c>
      <c r="E3" s="4" t="inlineStr">
        <is>
          <t>Sales Rep</t>
        </is>
      </c>
      <c r="F3" s="4" t="inlineStr">
        <is>
          <t>Sales Manager</t>
        </is>
      </c>
      <c r="G3" s="4" t="inlineStr">
        <is>
          <t>Sales Manager</t>
        </is>
      </c>
      <c r="H3" s="4" t="inlineStr">
        <is>
          <t>PMO</t>
        </is>
      </c>
    </row>
    <row r="4">
      <c r="A4" s="6" t="inlineStr">
        <is>
          <t>Project</t>
        </is>
      </c>
      <c r="B4" s="6" t="inlineStr">
        <is>
          <t>Project Created</t>
        </is>
      </c>
      <c r="C4" s="6" t="inlineStr">
        <is>
          <t>ROL-03</t>
        </is>
      </c>
      <c r="D4" s="9" t="n">
        <v>3</v>
      </c>
      <c r="E4" s="6" t="inlineStr">
        <is>
          <t>Project Manager</t>
        </is>
      </c>
      <c r="F4" s="6" t="inlineStr">
        <is>
          <t>PMO</t>
        </is>
      </c>
      <c r="G4" s="6" t="inlineStr">
        <is>
          <t>PMO</t>
        </is>
      </c>
      <c r="H4" s="6" t="inlineStr">
        <is>
          <t>All</t>
        </is>
      </c>
    </row>
    <row r="5">
      <c r="A5" s="4" t="inlineStr">
        <is>
          <t>BOM</t>
        </is>
      </c>
      <c r="B5" s="4" t="inlineStr">
        <is>
          <t>BOM Approval</t>
        </is>
      </c>
      <c r="C5" s="4" t="inlineStr">
        <is>
          <t>ROL-04</t>
        </is>
      </c>
      <c r="D5" s="8" t="n">
        <v>3</v>
      </c>
      <c r="E5" s="4" t="inlineStr">
        <is>
          <t>Engineering</t>
        </is>
      </c>
      <c r="F5" s="4" t="inlineStr">
        <is>
          <t>Engineering Lead</t>
        </is>
      </c>
      <c r="G5" s="4" t="inlineStr">
        <is>
          <t>Engineering Lead</t>
        </is>
      </c>
      <c r="H5" s="4" t="inlineStr">
        <is>
          <t>PMO</t>
        </is>
      </c>
    </row>
    <row r="6">
      <c r="A6" s="6" t="inlineStr">
        <is>
          <t>Supplier</t>
        </is>
      </c>
      <c r="B6" s="6" t="inlineStr">
        <is>
          <t>Supplier Selection</t>
        </is>
      </c>
      <c r="C6" s="6" t="inlineStr">
        <is>
          <t>ROL-06</t>
        </is>
      </c>
      <c r="D6" s="9" t="n">
        <v>3</v>
      </c>
      <c r="E6" s="6" t="inlineStr">
        <is>
          <t>Procurement</t>
        </is>
      </c>
      <c r="F6" s="6" t="inlineStr">
        <is>
          <t>Procurement Manager</t>
        </is>
      </c>
      <c r="G6" s="6" t="inlineStr">
        <is>
          <t>Procurement Manager</t>
        </is>
      </c>
      <c r="H6" s="6" t="inlineStr">
        <is>
          <t>Finance</t>
        </is>
      </c>
    </row>
    <row r="7">
      <c r="A7" s="4" t="inlineStr">
        <is>
          <t>Purchase Price</t>
        </is>
      </c>
      <c r="B7" s="4" t="inlineStr">
        <is>
          <t>Price Confirm</t>
        </is>
      </c>
      <c r="C7" s="4" t="inlineStr">
        <is>
          <t>ROL-06</t>
        </is>
      </c>
      <c r="D7" s="8" t="n">
        <v>3</v>
      </c>
      <c r="E7" s="4" t="inlineStr">
        <is>
          <t>Procurement</t>
        </is>
      </c>
      <c r="F7" s="4" t="inlineStr">
        <is>
          <t>Procurement Manager</t>
        </is>
      </c>
      <c r="G7" s="4" t="inlineStr">
        <is>
          <t>Procurement Manager</t>
        </is>
      </c>
      <c r="H7" s="4" t="inlineStr">
        <is>
          <t>Finance</t>
        </is>
      </c>
    </row>
    <row r="8">
      <c r="A8" s="6" t="inlineStr">
        <is>
          <t>Costing</t>
        </is>
      </c>
      <c r="B8" s="6" t="inlineStr">
        <is>
          <t>Finance Review</t>
        </is>
      </c>
      <c r="C8" s="6" t="inlineStr">
        <is>
          <t>ROL-07</t>
        </is>
      </c>
      <c r="D8" s="9" t="n">
        <v>4</v>
      </c>
      <c r="E8" s="6" t="inlineStr">
        <is>
          <t>Finance</t>
        </is>
      </c>
      <c r="F8" s="6" t="inlineStr">
        <is>
          <t>Finance Manager</t>
        </is>
      </c>
      <c r="G8" s="6" t="inlineStr">
        <is>
          <t>Finance Manager</t>
        </is>
      </c>
      <c r="H8" s="6" t="inlineStr">
        <is>
          <t>Sales</t>
        </is>
      </c>
    </row>
    <row r="9">
      <c r="A9" s="4" t="inlineStr">
        <is>
          <t>Quotation</t>
        </is>
      </c>
      <c r="B9" s="4" t="inlineStr">
        <is>
          <t>Sales Quotation</t>
        </is>
      </c>
      <c r="C9" s="4" t="inlineStr">
        <is>
          <t>ROL-01</t>
        </is>
      </c>
      <c r="D9" s="8" t="n">
        <v>3</v>
      </c>
      <c r="E9" s="4" t="inlineStr">
        <is>
          <t>Sales Manager</t>
        </is>
      </c>
      <c r="F9" s="4" t="inlineStr">
        <is>
          <t>Sales Manager</t>
        </is>
      </c>
      <c r="G9" s="4" t="inlineStr">
        <is>
          <t>Sales Manager</t>
        </is>
      </c>
      <c r="H9" s="4" t="inlineStr">
        <is>
          <t>Management</t>
        </is>
      </c>
    </row>
    <row r="10">
      <c r="A10" s="6" t="inlineStr">
        <is>
          <t>Quotation</t>
        </is>
      </c>
      <c r="B10" s="6" t="inlineStr">
        <is>
          <t>Management Approval</t>
        </is>
      </c>
      <c r="C10" s="6" t="inlineStr">
        <is>
          <t>ROL-08</t>
        </is>
      </c>
      <c r="D10" s="9" t="n">
        <v>5</v>
      </c>
      <c r="E10" s="6" t="inlineStr">
        <is>
          <t>Sales Manager</t>
        </is>
      </c>
      <c r="F10" s="6" t="inlineStr">
        <is>
          <t>Senior Management</t>
        </is>
      </c>
      <c r="G10" s="6" t="inlineStr">
        <is>
          <t>Senior Management</t>
        </is>
      </c>
      <c r="H10" s="6" t="inlineStr">
        <is>
          <t>All</t>
        </is>
      </c>
    </row>
    <row r="11">
      <c r="A11" s="4" t="inlineStr">
        <is>
          <t>*</t>
        </is>
      </c>
      <c r="B11" s="4" t="inlineStr">
        <is>
          <t>Post-Approval Change</t>
        </is>
      </c>
      <c r="C11" s="4" t="inlineStr">
        <is>
          <t>ROL-08</t>
        </is>
      </c>
      <c r="D11" s="8" t="n">
        <v>5</v>
      </c>
      <c r="E11" s="4" t="inlineStr">
        <is>
          <t>Owner</t>
        </is>
      </c>
      <c r="F11" s="4" t="inlineStr">
        <is>
          <t>Owner Approver</t>
        </is>
      </c>
      <c r="G11" s="4" t="inlineStr">
        <is>
          <t>Owner Approver</t>
        </is>
      </c>
      <c r="H11" s="4" t="inlineStr">
        <is>
          <t>Management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RACI</t>
        </is>
      </c>
    </row>
    <row r="2">
      <c r="A2" s="3" t="inlineStr">
        <is>
          <t>Activity</t>
        </is>
      </c>
      <c r="B2" s="3" t="inlineStr">
        <is>
          <t>Sales</t>
        </is>
      </c>
      <c r="C2" s="3" t="inlineStr">
        <is>
          <t>Engineering</t>
        </is>
      </c>
      <c r="D2" s="3" t="inlineStr">
        <is>
          <t>Planning</t>
        </is>
      </c>
      <c r="E2" s="3" t="inlineStr">
        <is>
          <t>Procurement</t>
        </is>
      </c>
      <c r="F2" s="3" t="inlineStr">
        <is>
          <t>Finance</t>
        </is>
      </c>
      <c r="G2" s="3" t="inlineStr">
        <is>
          <t>PMO</t>
        </is>
      </c>
      <c r="H2" s="3" t="inlineStr">
        <is>
          <t>Management</t>
        </is>
      </c>
    </row>
    <row r="3">
      <c r="A3" s="4" t="inlineStr">
        <is>
          <t>Register Order</t>
        </is>
      </c>
      <c r="B3" s="4" t="inlineStr">
        <is>
          <t>R/A</t>
        </is>
      </c>
      <c r="C3" s="4" t="inlineStr">
        <is>
          <t>I</t>
        </is>
      </c>
      <c r="D3" s="4" t="inlineStr"/>
      <c r="E3" s="4" t="inlineStr"/>
      <c r="F3" s="4" t="inlineStr"/>
      <c r="G3" s="4" t="inlineStr"/>
      <c r="H3" s="4" t="inlineStr"/>
    </row>
    <row r="4">
      <c r="A4" s="6" t="inlineStr">
        <is>
          <t>Initial Check</t>
        </is>
      </c>
      <c r="B4" s="6" t="inlineStr">
        <is>
          <t>R</t>
        </is>
      </c>
      <c r="C4" s="6" t="inlineStr">
        <is>
          <t>C</t>
        </is>
      </c>
      <c r="D4" s="6" t="inlineStr"/>
      <c r="E4" s="6" t="inlineStr"/>
      <c r="F4" s="6" t="inlineStr"/>
      <c r="G4" s="6" t="inlineStr">
        <is>
          <t>I</t>
        </is>
      </c>
      <c r="H4" s="6" t="inlineStr"/>
    </row>
    <row r="5">
      <c r="A5" s="4" t="inlineStr">
        <is>
          <t>Create Project</t>
        </is>
      </c>
      <c r="B5" s="4" t="inlineStr">
        <is>
          <t>I</t>
        </is>
      </c>
      <c r="C5" s="4" t="inlineStr">
        <is>
          <t>I</t>
        </is>
      </c>
      <c r="D5" s="4" t="inlineStr">
        <is>
          <t>I</t>
        </is>
      </c>
      <c r="E5" s="4" t="inlineStr">
        <is>
          <t>I</t>
        </is>
      </c>
      <c r="F5" s="4" t="inlineStr">
        <is>
          <t>I</t>
        </is>
      </c>
      <c r="G5" s="4" t="inlineStr">
        <is>
          <t>R/A</t>
        </is>
      </c>
      <c r="H5" s="4" t="inlineStr">
        <is>
          <t>I</t>
        </is>
      </c>
    </row>
    <row r="6">
      <c r="A6" s="6" t="inlineStr">
        <is>
          <t>Engineering + BOM</t>
        </is>
      </c>
      <c r="B6" s="6" t="inlineStr">
        <is>
          <t>C</t>
        </is>
      </c>
      <c r="C6" s="6" t="inlineStr">
        <is>
          <t>R/A</t>
        </is>
      </c>
      <c r="D6" s="6" t="inlineStr">
        <is>
          <t>C</t>
        </is>
      </c>
      <c r="E6" s="6" t="inlineStr">
        <is>
          <t>C</t>
        </is>
      </c>
      <c r="F6" s="6" t="inlineStr"/>
      <c r="G6" s="6" t="inlineStr">
        <is>
          <t>I</t>
        </is>
      </c>
      <c r="H6" s="6" t="inlineStr"/>
    </row>
    <row r="7">
      <c r="A7" s="4" t="inlineStr">
        <is>
          <t>BOM Approval</t>
        </is>
      </c>
      <c r="B7" s="4" t="inlineStr">
        <is>
          <t>I</t>
        </is>
      </c>
      <c r="C7" s="4" t="inlineStr">
        <is>
          <t>A</t>
        </is>
      </c>
      <c r="D7" s="4" t="inlineStr">
        <is>
          <t>C</t>
        </is>
      </c>
      <c r="E7" s="4" t="inlineStr">
        <is>
          <t>C</t>
        </is>
      </c>
      <c r="F7" s="4" t="inlineStr"/>
      <c r="G7" s="4" t="inlineStr">
        <is>
          <t>I</t>
        </is>
      </c>
      <c r="H7" s="4" t="inlineStr">
        <is>
          <t>I</t>
        </is>
      </c>
    </row>
    <row r="8">
      <c r="A8" s="6" t="inlineStr">
        <is>
          <t>Planning</t>
        </is>
      </c>
      <c r="B8" s="6" t="inlineStr">
        <is>
          <t>I</t>
        </is>
      </c>
      <c r="C8" s="6" t="inlineStr">
        <is>
          <t>C</t>
        </is>
      </c>
      <c r="D8" s="6" t="inlineStr">
        <is>
          <t>R/A</t>
        </is>
      </c>
      <c r="E8" s="6" t="inlineStr">
        <is>
          <t>I</t>
        </is>
      </c>
      <c r="F8" s="6" t="inlineStr"/>
      <c r="G8" s="6" t="inlineStr">
        <is>
          <t>I</t>
        </is>
      </c>
      <c r="H8" s="6" t="inlineStr"/>
    </row>
    <row r="9">
      <c r="A9" s="4" t="inlineStr">
        <is>
          <t>Scheduling</t>
        </is>
      </c>
      <c r="B9" s="4" t="inlineStr">
        <is>
          <t>I</t>
        </is>
      </c>
      <c r="C9" s="4" t="inlineStr">
        <is>
          <t>C</t>
        </is>
      </c>
      <c r="D9" s="4" t="inlineStr">
        <is>
          <t>R/A</t>
        </is>
      </c>
      <c r="E9" s="4" t="inlineStr">
        <is>
          <t>C</t>
        </is>
      </c>
      <c r="F9" s="4" t="inlineStr"/>
      <c r="G9" s="4" t="inlineStr">
        <is>
          <t>I</t>
        </is>
      </c>
      <c r="H9" s="4" t="inlineStr">
        <is>
          <t>I</t>
        </is>
      </c>
    </row>
    <row r="10">
      <c r="A10" s="6" t="inlineStr">
        <is>
          <t>Supplier Enquiry</t>
        </is>
      </c>
      <c r="B10" s="6" t="inlineStr"/>
      <c r="C10" s="6" t="inlineStr">
        <is>
          <t>C</t>
        </is>
      </c>
      <c r="D10" s="6" t="inlineStr">
        <is>
          <t>I</t>
        </is>
      </c>
      <c r="E10" s="6" t="inlineStr">
        <is>
          <t>R</t>
        </is>
      </c>
      <c r="F10" s="6" t="inlineStr">
        <is>
          <t>I</t>
        </is>
      </c>
      <c r="G10" s="6" t="inlineStr">
        <is>
          <t>I</t>
        </is>
      </c>
      <c r="H10" s="6" t="inlineStr"/>
    </row>
    <row r="11">
      <c r="A11" s="4" t="inlineStr">
        <is>
          <t>Supplier Selection</t>
        </is>
      </c>
      <c r="B11" s="4" t="inlineStr"/>
      <c r="C11" s="4" t="inlineStr">
        <is>
          <t>C</t>
        </is>
      </c>
      <c r="D11" s="4" t="inlineStr">
        <is>
          <t>I</t>
        </is>
      </c>
      <c r="E11" s="4" t="inlineStr">
        <is>
          <t>R/A</t>
        </is>
      </c>
      <c r="F11" s="4" t="inlineStr">
        <is>
          <t>C</t>
        </is>
      </c>
      <c r="G11" s="4" t="inlineStr">
        <is>
          <t>I</t>
        </is>
      </c>
      <c r="H11" s="4" t="inlineStr">
        <is>
          <t>I</t>
        </is>
      </c>
    </row>
    <row r="12">
      <c r="A12" s="6" t="inlineStr">
        <is>
          <t>Purchase Price Register</t>
        </is>
      </c>
      <c r="B12" s="6" t="inlineStr"/>
      <c r="C12" s="6" t="inlineStr">
        <is>
          <t>C</t>
        </is>
      </c>
      <c r="D12" s="6" t="inlineStr">
        <is>
          <t>I</t>
        </is>
      </c>
      <c r="E12" s="6" t="inlineStr">
        <is>
          <t>R</t>
        </is>
      </c>
      <c r="F12" s="6" t="inlineStr">
        <is>
          <t>I</t>
        </is>
      </c>
      <c r="G12" s="6" t="inlineStr">
        <is>
          <t>I</t>
        </is>
      </c>
      <c r="H12" s="6" t="inlineStr"/>
    </row>
    <row r="13">
      <c r="A13" s="4" t="inlineStr">
        <is>
          <t>Costing</t>
        </is>
      </c>
      <c r="B13" s="4" t="inlineStr">
        <is>
          <t>C</t>
        </is>
      </c>
      <c r="C13" s="4" t="inlineStr">
        <is>
          <t>C</t>
        </is>
      </c>
      <c r="D13" s="4" t="inlineStr">
        <is>
          <t>C</t>
        </is>
      </c>
      <c r="E13" s="4" t="inlineStr">
        <is>
          <t>C</t>
        </is>
      </c>
      <c r="F13" s="4" t="inlineStr">
        <is>
          <t>R/A</t>
        </is>
      </c>
      <c r="G13" s="4" t="inlineStr">
        <is>
          <t>I</t>
        </is>
      </c>
      <c r="H13" s="4" t="inlineStr">
        <is>
          <t>I</t>
        </is>
      </c>
    </row>
    <row r="14">
      <c r="A14" s="6" t="inlineStr">
        <is>
          <t>Budget</t>
        </is>
      </c>
      <c r="B14" s="6" t="inlineStr">
        <is>
          <t>I</t>
        </is>
      </c>
      <c r="C14" s="6" t="inlineStr">
        <is>
          <t>C</t>
        </is>
      </c>
      <c r="D14" s="6" t="inlineStr">
        <is>
          <t>C</t>
        </is>
      </c>
      <c r="E14" s="6" t="inlineStr">
        <is>
          <t>C</t>
        </is>
      </c>
      <c r="F14" s="6" t="inlineStr">
        <is>
          <t>R/A</t>
        </is>
      </c>
      <c r="G14" s="6" t="inlineStr">
        <is>
          <t>I</t>
        </is>
      </c>
      <c r="H14" s="6" t="inlineStr">
        <is>
          <t>I</t>
        </is>
      </c>
    </row>
    <row r="15">
      <c r="A15" s="4" t="inlineStr">
        <is>
          <t>Sales Quotation</t>
        </is>
      </c>
      <c r="B15" s="4" t="inlineStr">
        <is>
          <t>R/A</t>
        </is>
      </c>
      <c r="C15" s="4" t="inlineStr">
        <is>
          <t>C</t>
        </is>
      </c>
      <c r="D15" s="4" t="inlineStr">
        <is>
          <t>I</t>
        </is>
      </c>
      <c r="E15" s="4" t="inlineStr">
        <is>
          <t>C</t>
        </is>
      </c>
      <c r="F15" s="4" t="inlineStr">
        <is>
          <t>C</t>
        </is>
      </c>
      <c r="G15" s="4" t="inlineStr">
        <is>
          <t>I</t>
        </is>
      </c>
      <c r="H15" s="4" t="inlineStr">
        <is>
          <t>I</t>
        </is>
      </c>
    </row>
    <row r="16">
      <c r="A16" s="6" t="inlineStr">
        <is>
          <t>Payment Terms</t>
        </is>
      </c>
      <c r="B16" s="6" t="inlineStr">
        <is>
          <t>R</t>
        </is>
      </c>
      <c r="C16" s="6" t="inlineStr"/>
      <c r="D16" s="6" t="inlineStr"/>
      <c r="E16" s="6" t="inlineStr"/>
      <c r="F16" s="6" t="inlineStr">
        <is>
          <t>C</t>
        </is>
      </c>
      <c r="G16" s="6" t="inlineStr"/>
      <c r="H16" s="6" t="inlineStr">
        <is>
          <t>A</t>
        </is>
      </c>
    </row>
    <row r="17">
      <c r="A17" s="4" t="inlineStr">
        <is>
          <t>Management Decision</t>
        </is>
      </c>
      <c r="B17" s="4" t="inlineStr">
        <is>
          <t>I</t>
        </is>
      </c>
      <c r="C17" s="4" t="inlineStr">
        <is>
          <t>I</t>
        </is>
      </c>
      <c r="D17" s="4" t="inlineStr">
        <is>
          <t>I</t>
        </is>
      </c>
      <c r="E17" s="4" t="inlineStr">
        <is>
          <t>I</t>
        </is>
      </c>
      <c r="F17" s="4" t="inlineStr">
        <is>
          <t>I</t>
        </is>
      </c>
      <c r="G17" s="4" t="inlineStr">
        <is>
          <t>I</t>
        </is>
      </c>
      <c r="H17" s="4" t="inlineStr">
        <is>
          <t>R/A</t>
        </is>
      </c>
    </row>
  </sheetData>
  <dataValidations count="1">
    <dataValidation sqref="A3:A17" showDropDown="0" showInputMessage="0" showErrorMessage="1" allowBlank="1" errorTitle="Data Validation" error="مقدار خارج از فهرست مجاز است" promptTitle="Activity" prompt="انتخاب از فهرست مجاز برای Activity" type="list">
      <formula1>"Engineering,BOM Release,Procurement,Supplier Confirmation,Material Arrival,Production Planning,Production,QC,Packing,Delivery"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3" customWidth="1" min="4" max="4"/>
    <col width="16" customWidth="1" min="5" max="5"/>
    <col width="11" customWidth="1" min="6" max="6"/>
    <col width="11" customWidth="1" min="7" max="7"/>
    <col width="21" customWidth="1" min="8" max="8"/>
    <col width="21" customWidth="1" min="9" max="9"/>
    <col width="15" customWidth="1" min="10" max="10"/>
    <col width="11" customWidth="1" min="11" max="11"/>
    <col width="13" customWidth="1" min="12" max="12"/>
    <col width="12" customWidth="1" min="13" max="13"/>
    <col width="14" customWidth="1" min="14" max="14"/>
    <col width="11" customWidth="1" min="15" max="15"/>
  </cols>
  <sheetData>
    <row r="1">
      <c r="A1" s="1" t="inlineStr">
        <is>
          <t>Customers</t>
        </is>
      </c>
    </row>
    <row r="2">
      <c r="A2" s="3" t="inlineStr">
        <is>
          <t>System_ID</t>
        </is>
      </c>
      <c r="B2" s="3" t="inlineStr">
        <is>
          <t>Customer_Code</t>
        </is>
      </c>
      <c r="C2" s="3" t="inlineStr">
        <is>
          <t>Customer_Name</t>
        </is>
      </c>
      <c r="D2" s="3" t="inlineStr">
        <is>
          <t>Legal_Name</t>
        </is>
      </c>
      <c r="E2" s="3" t="inlineStr">
        <is>
          <t>Customer_Type</t>
        </is>
      </c>
      <c r="F2" s="3" t="inlineStr">
        <is>
          <t>Country</t>
        </is>
      </c>
      <c r="G2" s="3" t="inlineStr">
        <is>
          <t>City</t>
        </is>
      </c>
      <c r="H2" s="3" t="inlineStr">
        <is>
          <t>Delivery_Location</t>
        </is>
      </c>
      <c r="I2" s="3" t="inlineStr">
        <is>
          <t>Payment_Condition</t>
        </is>
      </c>
      <c r="J2" s="3" t="inlineStr">
        <is>
          <t>Credit_Limit</t>
        </is>
      </c>
      <c r="K2" s="3" t="inlineStr">
        <is>
          <t>Currency</t>
        </is>
      </c>
      <c r="L2" s="3" t="inlineStr">
        <is>
          <t>Tax_Status</t>
        </is>
      </c>
      <c r="M2" s="3" t="inlineStr">
        <is>
          <t>Is_Active</t>
        </is>
      </c>
      <c r="N2" s="3" t="inlineStr">
        <is>
          <t>Sales_Owner</t>
        </is>
      </c>
      <c r="O2" s="3" t="inlineStr">
        <is>
          <t>Notes</t>
        </is>
      </c>
    </row>
    <row r="3">
      <c r="A3" s="4" t="inlineStr">
        <is>
          <t>CUS-000001</t>
        </is>
      </c>
      <c r="B3" s="4" t="inlineStr">
        <is>
          <t>CUS-1</t>
        </is>
      </c>
      <c r="C3" s="4" t="inlineStr">
        <is>
          <t>صنایع پتروشیمی صبا</t>
        </is>
      </c>
      <c r="D3" s="4" t="inlineStr">
        <is>
          <t>شرکت صنایع پتروشیمی صبا (سهامی خاص)</t>
        </is>
      </c>
      <c r="E3" s="4" t="inlineStr">
        <is>
          <t>Corporate</t>
        </is>
      </c>
      <c r="F3" s="4" t="inlineStr">
        <is>
          <t>Iran</t>
        </is>
      </c>
      <c r="G3" s="4" t="inlineStr">
        <is>
          <t>عسلویه</t>
        </is>
      </c>
      <c r="H3" s="4" t="inlineStr">
        <is>
          <t>سایت عسلویه، فاز ۲</t>
        </is>
      </c>
      <c r="I3" s="4" t="inlineStr">
        <is>
          <t>30% پیش‌پرداخت + 70% اعتبار 60 روزه</t>
        </is>
      </c>
      <c r="J3" s="5" t="n">
        <v>25000000000</v>
      </c>
      <c r="K3" s="4" t="inlineStr">
        <is>
          <t>IRR</t>
        </is>
      </c>
      <c r="L3" s="4" t="inlineStr">
        <is>
          <t>VAT</t>
        </is>
      </c>
      <c r="M3" s="4" t="n">
        <v>1</v>
      </c>
      <c r="N3" s="4" t="inlineStr">
        <is>
          <t>USR-02</t>
        </is>
      </c>
      <c r="O3" s="4" t="inlineStr">
        <is>
          <t>مشتری کلیدی؛ سابقه پرداخت خوب</t>
        </is>
      </c>
    </row>
    <row r="4">
      <c r="A4" s="6" t="inlineStr">
        <is>
          <t>CUS-000002</t>
        </is>
      </c>
      <c r="B4" s="6" t="inlineStr">
        <is>
          <t>CUS-2</t>
        </is>
      </c>
      <c r="C4" s="6" t="inlineStr">
        <is>
          <t>پالایش نفت ستاره</t>
        </is>
      </c>
      <c r="D4" s="6" t="inlineStr">
        <is>
          <t>شرکت پالایش نفت ستاره</t>
        </is>
      </c>
      <c r="E4" s="6" t="inlineStr">
        <is>
          <t>Corporate</t>
        </is>
      </c>
      <c r="F4" s="6" t="inlineStr">
        <is>
          <t>Iran</t>
        </is>
      </c>
      <c r="G4" s="6" t="inlineStr">
        <is>
          <t>بندرعباس</t>
        </is>
      </c>
      <c r="H4" s="6" t="inlineStr">
        <is>
          <t>انبار مرکزی بندرعباس</t>
        </is>
      </c>
      <c r="I4" s="6" t="inlineStr">
        <is>
          <t>LC دیداری</t>
        </is>
      </c>
      <c r="J4" s="7" t="n">
        <v>20000000000</v>
      </c>
      <c r="K4" s="6" t="inlineStr">
        <is>
          <t>IRR</t>
        </is>
      </c>
      <c r="L4" s="6" t="inlineStr">
        <is>
          <t>VAT</t>
        </is>
      </c>
      <c r="M4" s="6" t="n">
        <v>1</v>
      </c>
      <c r="N4" s="6" t="inlineStr">
        <is>
          <t>USR-02</t>
        </is>
      </c>
      <c r="O4" s="6" t="inlineStr">
        <is>
          <t>سفارش‌های فصلی</t>
        </is>
      </c>
    </row>
  </sheetData>
  <dataValidations count="3">
    <dataValidation sqref="E3:E4" showDropDown="0" showInputMessage="0" showErrorMessage="1" allowBlank="1" errorTitle="Data Validation" error="مقدار خارج از فهرست مجاز است" promptTitle="Customer_Type" prompt="انتخاب از فهرست مجاز برای Customer_Type" type="list">
      <formula1>"Corporate,Government,Distributor,Retail"</formula1>
    </dataValidation>
    <dataValidation sqref="K3:K4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L3:L4" showDropDown="0" showInputMessage="0" showErrorMessage="1" allowBlank="1" errorTitle="Data Validation" error="مقدار خارج از فهرست مجاز است" promptTitle="Tax_Status" prompt="انتخاب از فهرست مجاز برای Tax_Status" type="list">
      <formula1>"VAT,Exempt,N/A"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1" customWidth="1" min="5" max="5"/>
    <col width="11" customWidth="1" min="6" max="6"/>
    <col width="12" customWidth="1" min="7" max="7"/>
  </cols>
  <sheetData>
    <row r="1">
      <c r="A1" s="1" t="inlineStr">
        <is>
          <t>Products</t>
        </is>
      </c>
    </row>
    <row r="2">
      <c r="A2" s="3" t="inlineStr">
        <is>
          <t>System_ID</t>
        </is>
      </c>
      <c r="B2" s="3" t="inlineStr">
        <is>
          <t>Product_Code</t>
        </is>
      </c>
      <c r="C2" s="3" t="inlineStr">
        <is>
          <t>Product_Name</t>
        </is>
      </c>
      <c r="D2" s="3" t="inlineStr">
        <is>
          <t>Product_Type</t>
        </is>
      </c>
      <c r="E2" s="3" t="inlineStr">
        <is>
          <t>Base_UoM</t>
        </is>
      </c>
      <c r="F2" s="3" t="inlineStr">
        <is>
          <t>Category</t>
        </is>
      </c>
      <c r="G2" s="3" t="inlineStr">
        <is>
          <t>Is_Active</t>
        </is>
      </c>
    </row>
    <row r="3">
      <c r="A3" s="4" t="inlineStr">
        <is>
          <t>PRD-000125</t>
        </is>
      </c>
      <c r="B3" s="4" t="inlineStr">
        <is>
          <t>PMP-250</t>
        </is>
      </c>
      <c r="C3" s="4" t="inlineStr">
        <is>
          <t>پمپ گریز از مرکز سرویس سنگین PMP-250</t>
        </is>
      </c>
      <c r="D3" s="4" t="inlineStr">
        <is>
          <t>Finished Good</t>
        </is>
      </c>
      <c r="E3" s="4" t="inlineStr">
        <is>
          <t>pcs</t>
        </is>
      </c>
      <c r="F3" s="4" t="inlineStr">
        <is>
          <t>Pumps</t>
        </is>
      </c>
      <c r="G3" s="4" t="n">
        <v>1</v>
      </c>
    </row>
    <row r="4">
      <c r="A4" s="6" t="inlineStr">
        <is>
          <t>PRD-000126</t>
        </is>
      </c>
      <c r="B4" s="6" t="inlineStr">
        <is>
          <t>PMP-150</t>
        </is>
      </c>
      <c r="C4" s="6" t="inlineStr">
        <is>
          <t>پمپ گریز از مرکز PMP-150</t>
        </is>
      </c>
      <c r="D4" s="6" t="inlineStr">
        <is>
          <t>Finished Good</t>
        </is>
      </c>
      <c r="E4" s="6" t="inlineStr">
        <is>
          <t>pcs</t>
        </is>
      </c>
      <c r="F4" s="6" t="inlineStr">
        <is>
          <t>Pumps</t>
        </is>
      </c>
      <c r="G4" s="6" t="n">
        <v>1</v>
      </c>
    </row>
  </sheetData>
  <dataValidations count="1">
    <dataValidation sqref="E3:E4" showDropDown="0" showInputMessage="0" showErrorMessage="1" allowBlank="1" errorTitle="Data Validation" error="مقدار خارج از فهرست مجاز است" promptTitle="Base_UoM" prompt="انتخاب از فهرست مجاز برای Base_UoM" type="list">
      <formula1>"pcs,kg,m,m2,liter,set,ton"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20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>
      <c r="A1" s="1" t="inlineStr">
        <is>
          <t>Product_Revisions</t>
        </is>
      </c>
    </row>
    <row r="2">
      <c r="A2" s="3" t="inlineStr">
        <is>
          <t>System_ID</t>
        </is>
      </c>
      <c r="B2" s="3" t="inlineStr">
        <is>
          <t>Product_ID</t>
        </is>
      </c>
      <c r="C2" s="3" t="inlineStr">
        <is>
          <t>Revision_No</t>
        </is>
      </c>
      <c r="D2" s="3" t="inlineStr">
        <is>
          <t>Drawing_No</t>
        </is>
      </c>
      <c r="E2" s="3" t="inlineStr">
        <is>
          <t>Drawing_Revision</t>
        </is>
      </c>
      <c r="F2" s="3" t="inlineStr">
        <is>
          <t>BOM_Policy</t>
        </is>
      </c>
      <c r="G2" s="3" t="inlineStr">
        <is>
          <t>Approved_By</t>
        </is>
      </c>
      <c r="H2" s="3" t="inlineStr">
        <is>
          <t>Approve_Date</t>
        </is>
      </c>
      <c r="I2" s="3" t="inlineStr">
        <is>
          <t>Change_Reason</t>
        </is>
      </c>
    </row>
    <row r="3">
      <c r="A3" s="4" t="inlineStr">
        <is>
          <t>PRV-000125-R03</t>
        </is>
      </c>
      <c r="B3" s="4" t="inlineStr">
        <is>
          <t>PRD-000125</t>
        </is>
      </c>
      <c r="C3" s="4" t="inlineStr">
        <is>
          <t>R03</t>
        </is>
      </c>
      <c r="D3" s="4" t="inlineStr">
        <is>
          <t>DRW-250-A</t>
        </is>
      </c>
      <c r="E3" s="4" t="inlineStr">
        <is>
          <t>Rev C</t>
        </is>
      </c>
      <c r="F3" s="4" t="inlineStr">
        <is>
          <t>Each Rev = New BOM Revision</t>
        </is>
      </c>
      <c r="G3" s="4" t="inlineStr">
        <is>
          <t>USR-04</t>
        </is>
      </c>
      <c r="H3" s="10" t="n">
        <v>46275</v>
      </c>
      <c r="I3" s="4" t="inlineStr">
        <is>
          <t>به‌روزرسانی متریال پروانه طبق استاندارد جدید</t>
        </is>
      </c>
    </row>
    <row r="4">
      <c r="A4" s="6" t="inlineStr">
        <is>
          <t>PRV-000126-R02</t>
        </is>
      </c>
      <c r="B4" s="6" t="inlineStr">
        <is>
          <t>PRD-000126</t>
        </is>
      </c>
      <c r="C4" s="6" t="inlineStr">
        <is>
          <t>R02</t>
        </is>
      </c>
      <c r="D4" s="6" t="inlineStr">
        <is>
          <t>DRW-150-B</t>
        </is>
      </c>
      <c r="E4" s="6" t="inlineStr">
        <is>
          <t>Rev B</t>
        </is>
      </c>
      <c r="F4" s="6" t="inlineStr">
        <is>
          <t>Each Rev = New BOM Revision</t>
        </is>
      </c>
      <c r="G4" s="6" t="inlineStr">
        <is>
          <t>USR-04</t>
        </is>
      </c>
      <c r="H4" s="11" t="n">
        <v>46174</v>
      </c>
      <c r="I4" s="6" t="inlineStr">
        <is>
          <t>اصلاح تلورانس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6" customWidth="1" min="4" max="4"/>
    <col width="16" customWidth="1" min="5" max="5"/>
    <col width="11" customWidth="1" min="6" max="6"/>
    <col width="20" customWidth="1" min="7" max="7"/>
    <col width="22" customWidth="1" min="8" max="8"/>
    <col width="12" customWidth="1" min="9" max="9"/>
  </cols>
  <sheetData>
    <row r="1">
      <c r="A1" s="1" t="inlineStr">
        <is>
          <t>Materials</t>
        </is>
      </c>
    </row>
    <row r="2">
      <c r="A2" s="3" t="inlineStr">
        <is>
          <t>System_ID</t>
        </is>
      </c>
      <c r="B2" s="3" t="inlineStr">
        <is>
          <t>Material_Code</t>
        </is>
      </c>
      <c r="C2" s="3" t="inlineStr">
        <is>
          <t>Material_Description</t>
        </is>
      </c>
      <c r="D2" s="3" t="inlineStr">
        <is>
          <t>Material_Type</t>
        </is>
      </c>
      <c r="E2" s="3" t="inlineStr">
        <is>
          <t>Specification</t>
        </is>
      </c>
      <c r="F2" s="3" t="inlineStr">
        <is>
          <t>UoM</t>
        </is>
      </c>
      <c r="G2" s="3" t="inlineStr">
        <is>
          <t>Make_Buy_Default</t>
        </is>
      </c>
      <c r="H2" s="3" t="inlineStr">
        <is>
          <t>Preferred_Supplier</t>
        </is>
      </c>
      <c r="I2" s="3" t="inlineStr">
        <is>
          <t>Is_Active</t>
        </is>
      </c>
    </row>
    <row r="3">
      <c r="A3" s="4" t="inlineStr">
        <is>
          <t>MAT-001542</t>
        </is>
      </c>
      <c r="B3" s="4" t="inlineStr">
        <is>
          <t>MAT-01</t>
        </is>
      </c>
      <c r="C3" s="10" t="inlineStr">
        <is>
          <t>پوسته چدنی (Cast Iron Casing)</t>
        </is>
      </c>
      <c r="D3" s="4" t="inlineStr">
        <is>
          <t>Raw Material</t>
        </is>
      </c>
      <c r="E3" s="4" t="inlineStr">
        <is>
          <t>GG-25 مطابق DIN 1691</t>
        </is>
      </c>
      <c r="F3" s="4" t="inlineStr">
        <is>
          <t>kg</t>
        </is>
      </c>
      <c r="G3" s="10" t="inlineStr">
        <is>
          <t>Make</t>
        </is>
      </c>
      <c r="H3" s="4" t="inlineStr"/>
      <c r="I3" s="4" t="n">
        <v>1</v>
      </c>
    </row>
    <row r="4">
      <c r="A4" s="6" t="inlineStr">
        <is>
          <t>MAT-001543</t>
        </is>
      </c>
      <c r="B4" s="6" t="inlineStr">
        <is>
          <t>MAT-02</t>
        </is>
      </c>
      <c r="C4" s="11" t="inlineStr">
        <is>
          <t>پروانه فولاد ضدزنگ (Impeller SS316)</t>
        </is>
      </c>
      <c r="D4" s="6" t="inlineStr">
        <is>
          <t>Raw Material</t>
        </is>
      </c>
      <c r="E4" s="6" t="inlineStr">
        <is>
          <t>AISI 316L</t>
        </is>
      </c>
      <c r="F4" s="6" t="inlineStr">
        <is>
          <t>kg</t>
        </is>
      </c>
      <c r="G4" s="11" t="inlineStr">
        <is>
          <t>Make</t>
        </is>
      </c>
      <c r="H4" s="6" t="inlineStr"/>
      <c r="I4" s="6" t="n">
        <v>1</v>
      </c>
    </row>
    <row r="5">
      <c r="A5" s="4" t="inlineStr">
        <is>
          <t>MAT-001544</t>
        </is>
      </c>
      <c r="B5" s="4" t="inlineStr">
        <is>
          <t>MAT-03</t>
        </is>
      </c>
      <c r="C5" s="10" t="inlineStr">
        <is>
          <t>بلبرینگ کف‌گرد (Thrust Bearing)</t>
        </is>
      </c>
      <c r="D5" s="4" t="inlineStr">
        <is>
          <t>Purchased Part</t>
        </is>
      </c>
      <c r="E5" s="4" t="inlineStr">
        <is>
          <t>SKF 29420 E</t>
        </is>
      </c>
      <c r="F5" s="4" t="inlineStr">
        <is>
          <t>pcs</t>
        </is>
      </c>
      <c r="G5" s="10" t="inlineStr">
        <is>
          <t>Buy</t>
        </is>
      </c>
      <c r="H5" s="4" t="inlineStr">
        <is>
          <t>SUP-000089</t>
        </is>
      </c>
      <c r="I5" s="4" t="n">
        <v>1</v>
      </c>
    </row>
    <row r="6">
      <c r="A6" s="6" t="inlineStr">
        <is>
          <t>MAT-001545</t>
        </is>
      </c>
      <c r="B6" s="6" t="inlineStr">
        <is>
          <t>MAT-04</t>
        </is>
      </c>
      <c r="C6" s="11" t="inlineStr">
        <is>
          <t>مکانیکال سیل (Mechanical Seal)</t>
        </is>
      </c>
      <c r="D6" s="6" t="inlineStr">
        <is>
          <t>Purchased Part</t>
        </is>
      </c>
      <c r="E6" s="6" t="inlineStr">
        <is>
          <t>EagleBurgmann H74</t>
        </is>
      </c>
      <c r="F6" s="6" t="inlineStr">
        <is>
          <t>pcs</t>
        </is>
      </c>
      <c r="G6" s="11" t="inlineStr">
        <is>
          <t>Buy</t>
        </is>
      </c>
      <c r="H6" s="6" t="inlineStr">
        <is>
          <t>SUP-000088</t>
        </is>
      </c>
      <c r="I6" s="6" t="n">
        <v>1</v>
      </c>
    </row>
    <row r="7">
      <c r="A7" s="4" t="inlineStr">
        <is>
          <t>MAT-001546</t>
        </is>
      </c>
      <c r="B7" s="4" t="inlineStr">
        <is>
          <t>MAT-05</t>
        </is>
      </c>
      <c r="C7" s="10" t="inlineStr">
        <is>
          <t>الکتروموتور 45kW</t>
        </is>
      </c>
      <c r="D7" s="4" t="inlineStr">
        <is>
          <t>Purchased Part</t>
        </is>
      </c>
      <c r="E7" s="4" t="inlineStr">
        <is>
          <t>IEC 400V 50Hz IM B3</t>
        </is>
      </c>
      <c r="F7" s="4" t="inlineStr">
        <is>
          <t>pcs</t>
        </is>
      </c>
      <c r="G7" s="10" t="inlineStr">
        <is>
          <t>Buy</t>
        </is>
      </c>
      <c r="H7" s="4" t="inlineStr">
        <is>
          <t>SUP-000087</t>
        </is>
      </c>
      <c r="I7" s="4" t="n">
        <v>1</v>
      </c>
    </row>
    <row r="8">
      <c r="A8" s="6" t="inlineStr">
        <is>
          <t>MAT-001547</t>
        </is>
      </c>
      <c r="B8" s="6" t="inlineStr">
        <is>
          <t>MAT-06</t>
        </is>
      </c>
      <c r="C8" s="11" t="inlineStr">
        <is>
          <t>شفت فولادی (Shaft CK45)</t>
        </is>
      </c>
      <c r="D8" s="6" t="inlineStr">
        <is>
          <t>Raw Material</t>
        </is>
      </c>
      <c r="E8" s="6" t="inlineStr">
        <is>
          <t>CK45 مطابق DIN 17200</t>
        </is>
      </c>
      <c r="F8" s="6" t="inlineStr">
        <is>
          <t>kg</t>
        </is>
      </c>
      <c r="G8" s="11" t="inlineStr">
        <is>
          <t>Make</t>
        </is>
      </c>
      <c r="H8" s="6" t="inlineStr"/>
      <c r="I8" s="6" t="n">
        <v>1</v>
      </c>
    </row>
    <row r="9">
      <c r="A9" s="4" t="inlineStr">
        <is>
          <t>MAT-001548</t>
        </is>
      </c>
      <c r="B9" s="4" t="inlineStr">
        <is>
          <t>MAT-07</t>
        </is>
      </c>
      <c r="C9" s="10" t="inlineStr">
        <is>
          <t>بسته‌بندی صادراتی چوبی</t>
        </is>
      </c>
      <c r="D9" s="4" t="inlineStr">
        <is>
          <t>Packaging</t>
        </is>
      </c>
      <c r="E9" s="4" t="inlineStr">
        <is>
          <t>ISPM-15</t>
        </is>
      </c>
      <c r="F9" s="4" t="inlineStr">
        <is>
          <t>pcs</t>
        </is>
      </c>
      <c r="G9" s="10" t="inlineStr">
        <is>
          <t>Buy</t>
        </is>
      </c>
      <c r="H9" s="4" t="inlineStr">
        <is>
          <t>SUP-000086</t>
        </is>
      </c>
      <c r="I9" s="4" t="n">
        <v>1</v>
      </c>
    </row>
  </sheetData>
  <dataValidations count="3">
    <dataValidation sqref="D3:D9" showDropDown="0" showInputMessage="0" showErrorMessage="1" allowBlank="1" errorTitle="Data Validation" error="مقدار خارج از فهرست مجاز است" promptTitle="Material_Type" prompt="انتخاب از فهرست مجاز برای Material_Type" type="list">
      <formula1>"Raw Material,Purchased Part,Assembly,Sub Assembly,Packaging,Consumable"</formula1>
    </dataValidation>
    <dataValidation sqref="F3:F9" showDropDown="0" showInputMessage="0" showErrorMessage="1" allowBlank="1" errorTitle="Data Validation" error="مقدار خارج از فهرست مجاز است" promptTitle="UoM" prompt="انتخاب از فهرست مجاز برای UoM" type="list">
      <formula1>"pcs,kg,m,m2,liter,set,ton"</formula1>
    </dataValidation>
    <dataValidation sqref="G3:G9" showDropDown="0" showInputMessage="0" showErrorMessage="1" allowBlank="1" errorTitle="Data Validation" error="مقدار خارج از فهرست مجاز است" promptTitle="Make_Buy_Default" prompt="انتخاب از فهرست مجاز برای Make_Buy_Default" type="list">
      <formula1>"Make,Buy"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3" customWidth="1" min="4" max="4"/>
    <col width="11" customWidth="1" min="5" max="5"/>
    <col width="11" customWidth="1" min="6" max="6"/>
    <col width="26" customWidth="1" min="7" max="7"/>
    <col width="20" customWidth="1" min="8" max="8"/>
    <col width="11" customWidth="1" min="9" max="9"/>
    <col width="19" customWidth="1" min="10" max="10"/>
    <col width="11" customWidth="1" min="11" max="11"/>
    <col width="12" customWidth="1" min="12" max="12"/>
  </cols>
  <sheetData>
    <row r="1">
      <c r="A1" s="1" t="inlineStr">
        <is>
          <t>Suppliers</t>
        </is>
      </c>
    </row>
    <row r="2">
      <c r="A2" s="3" t="inlineStr">
        <is>
          <t>System_ID</t>
        </is>
      </c>
      <c r="B2" s="3" t="inlineStr">
        <is>
          <t>Supplier_Code</t>
        </is>
      </c>
      <c r="C2" s="3" t="inlineStr">
        <is>
          <t>Supplier_Name</t>
        </is>
      </c>
      <c r="D2" s="3" t="inlineStr">
        <is>
          <t>Legal_Name</t>
        </is>
      </c>
      <c r="E2" s="3" t="inlineStr">
        <is>
          <t>Country</t>
        </is>
      </c>
      <c r="F2" s="3" t="inlineStr">
        <is>
          <t>Currency</t>
        </is>
      </c>
      <c r="G2" s="3" t="inlineStr">
        <is>
          <t>Payment_Terms_Default</t>
        </is>
      </c>
      <c r="H2" s="3" t="inlineStr">
        <is>
          <t>Incoterm_Default</t>
        </is>
      </c>
      <c r="I2" s="3" t="inlineStr">
        <is>
          <t>Rating</t>
        </is>
      </c>
      <c r="J2" s="3" t="inlineStr">
        <is>
          <t>Approval_Status</t>
        </is>
      </c>
      <c r="K2" s="3" t="inlineStr">
        <is>
          <t>Contact</t>
        </is>
      </c>
      <c r="L2" s="3" t="inlineStr">
        <is>
          <t>Is_Active</t>
        </is>
      </c>
    </row>
    <row r="3">
      <c r="A3" s="4" t="inlineStr">
        <is>
          <t>SUP-000086</t>
        </is>
      </c>
      <c r="B3" s="4" t="inlineStr">
        <is>
          <t>SUP-86</t>
        </is>
      </c>
      <c r="C3" s="4" t="inlineStr">
        <is>
          <t>بسته‌بندی پارس</t>
        </is>
      </c>
      <c r="D3" s="4" t="inlineStr">
        <is>
          <t>بسته‌بندی پارس (چوب)</t>
        </is>
      </c>
      <c r="E3" s="4" t="inlineStr">
        <is>
          <t>Iran</t>
        </is>
      </c>
      <c r="F3" s="4" t="inlineStr">
        <is>
          <t>IRR</t>
        </is>
      </c>
      <c r="G3" s="10" t="inlineStr">
        <is>
          <t>30 روزه</t>
        </is>
      </c>
      <c r="H3" s="10" t="inlineStr">
        <is>
          <t>EXW</t>
        </is>
      </c>
      <c r="I3" s="4" t="n">
        <v>4</v>
      </c>
      <c r="J3" s="8" t="inlineStr">
        <is>
          <t>Approved</t>
        </is>
      </c>
      <c r="K3" s="4" t="inlineStr">
        <is>
          <t>تلفن 021-1111</t>
        </is>
      </c>
      <c r="L3" s="4" t="n">
        <v>1</v>
      </c>
    </row>
    <row r="4">
      <c r="A4" s="6" t="inlineStr">
        <is>
          <t>SUP-000087</t>
        </is>
      </c>
      <c r="B4" s="6" t="inlineStr">
        <is>
          <t>SUP-87</t>
        </is>
      </c>
      <c r="C4" s="6" t="inlineStr">
        <is>
          <t>الکتروموتور توان</t>
        </is>
      </c>
      <c r="D4" s="6" t="inlineStr">
        <is>
          <t>موتور توان (نماینده زیمنس)</t>
        </is>
      </c>
      <c r="E4" s="6" t="inlineStr">
        <is>
          <t>Iran</t>
        </is>
      </c>
      <c r="F4" s="6" t="inlineStr">
        <is>
          <t>IRR</t>
        </is>
      </c>
      <c r="G4" s="11" t="inlineStr">
        <is>
          <t>45 روزه</t>
        </is>
      </c>
      <c r="H4" s="11" t="inlineStr">
        <is>
          <t>CPT</t>
        </is>
      </c>
      <c r="I4" s="6" t="n">
        <v>4</v>
      </c>
      <c r="J4" s="9" t="inlineStr">
        <is>
          <t>Approved</t>
        </is>
      </c>
      <c r="K4" s="6" t="inlineStr">
        <is>
          <t>تلفن 021-2222</t>
        </is>
      </c>
      <c r="L4" s="6" t="n">
        <v>1</v>
      </c>
    </row>
    <row r="5">
      <c r="A5" s="4" t="inlineStr">
        <is>
          <t>SUP-000088</t>
        </is>
      </c>
      <c r="B5" s="4" t="inlineStr">
        <is>
          <t>SUP-88</t>
        </is>
      </c>
      <c r="C5" s="4" t="inlineStr">
        <is>
          <t>سیل آریا</t>
        </is>
      </c>
      <c r="D5" s="4" t="inlineStr">
        <is>
          <t>سیل‌های مکانیکی آریا</t>
        </is>
      </c>
      <c r="E5" s="4" t="inlineStr">
        <is>
          <t>Iran</t>
        </is>
      </c>
      <c r="F5" s="4" t="inlineStr">
        <is>
          <t>IRR</t>
        </is>
      </c>
      <c r="G5" s="10" t="inlineStr">
        <is>
          <t>30 روزه</t>
        </is>
      </c>
      <c r="H5" s="10" t="inlineStr">
        <is>
          <t>CPT</t>
        </is>
      </c>
      <c r="I5" s="4" t="n">
        <v>5</v>
      </c>
      <c r="J5" s="8" t="inlineStr">
        <is>
          <t>Approved</t>
        </is>
      </c>
      <c r="K5" s="4" t="inlineStr">
        <is>
          <t>تلفن 021-3333</t>
        </is>
      </c>
      <c r="L5" s="4" t="n">
        <v>1</v>
      </c>
    </row>
    <row r="6">
      <c r="A6" s="6" t="inlineStr">
        <is>
          <t>SUP-000089</t>
        </is>
      </c>
      <c r="B6" s="6" t="inlineStr">
        <is>
          <t>SUP-89</t>
        </is>
      </c>
      <c r="C6" s="6" t="inlineStr">
        <is>
          <t>بلبرینگ ایران</t>
        </is>
      </c>
      <c r="D6" s="6" t="inlineStr">
        <is>
          <t>بلبرینگ‌های صنعتی ایران</t>
        </is>
      </c>
      <c r="E6" s="6" t="inlineStr">
        <is>
          <t>Iran</t>
        </is>
      </c>
      <c r="F6" s="6" t="inlineStr">
        <is>
          <t>IRR</t>
        </is>
      </c>
      <c r="G6" s="11" t="inlineStr">
        <is>
          <t>30 روزه</t>
        </is>
      </c>
      <c r="H6" s="11" t="inlineStr">
        <is>
          <t>CPT</t>
        </is>
      </c>
      <c r="I6" s="6" t="n">
        <v>4</v>
      </c>
      <c r="J6" s="9" t="inlineStr">
        <is>
          <t>Approved</t>
        </is>
      </c>
      <c r="K6" s="6" t="inlineStr">
        <is>
          <t>تلفن 021-4444</t>
        </is>
      </c>
      <c r="L6" s="6" t="n">
        <v>1</v>
      </c>
    </row>
    <row r="7">
      <c r="A7" s="4" t="inlineStr">
        <is>
          <t>SUP-000090</t>
        </is>
      </c>
      <c r="B7" s="4" t="inlineStr">
        <is>
          <t>SUP-90</t>
        </is>
      </c>
      <c r="C7" s="4" t="inlineStr">
        <is>
          <t>فولاد جنوب</t>
        </is>
      </c>
      <c r="D7" s="4" t="inlineStr">
        <is>
          <t>فولاد جنوب (ریخته‌گری)</t>
        </is>
      </c>
      <c r="E7" s="4" t="inlineStr">
        <is>
          <t>Iran</t>
        </is>
      </c>
      <c r="F7" s="4" t="inlineStr">
        <is>
          <t>IRR</t>
        </is>
      </c>
      <c r="G7" s="10" t="inlineStr">
        <is>
          <t>45 روزه</t>
        </is>
      </c>
      <c r="H7" s="10" t="inlineStr">
        <is>
          <t>EXW</t>
        </is>
      </c>
      <c r="I7" s="4" t="n">
        <v>3</v>
      </c>
      <c r="J7" s="8" t="inlineStr">
        <is>
          <t>Approved</t>
        </is>
      </c>
      <c r="K7" s="4" t="inlineStr">
        <is>
          <t>تلفن 071-5555</t>
        </is>
      </c>
      <c r="L7" s="4" t="n">
        <v>1</v>
      </c>
    </row>
  </sheetData>
  <dataValidations count="2">
    <dataValidation sqref="F3:F7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H3:H7" showDropDown="0" showInputMessage="0" showErrorMessage="1" allowBlank="1" errorTitle="Data Validation" error="مقدار خارج از فهرست مجاز است" promptTitle="Incoterm_Default" prompt="انتخاب از فهرست مجاز برای Incoterm_Default" type="list">
      <formula1>"EXW,FCA,CPT,CIP,DAP,DDP"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1" customWidth="1" min="4" max="4"/>
  </cols>
  <sheetData>
    <row r="1">
      <c r="A1" s="1" t="inlineStr">
        <is>
          <t>Inventory</t>
        </is>
      </c>
      <c r="B1" s="2" t="inlineStr">
        <is>
          <t>موجودی/رزرو برای محاسبه کسری در Planning.</t>
        </is>
      </c>
    </row>
    <row r="2">
      <c r="A2" s="3" t="inlineStr">
        <is>
          <t>System_ID</t>
        </is>
      </c>
      <c r="B2" s="3" t="inlineStr">
        <is>
          <t>Material_ID</t>
        </is>
      </c>
      <c r="C2" s="3" t="inlineStr">
        <is>
          <t>Stock_On_Hand</t>
        </is>
      </c>
      <c r="D2" s="3" t="inlineStr">
        <is>
          <t>Reserved</t>
        </is>
      </c>
    </row>
    <row r="3">
      <c r="A3" s="4" t="inlineStr">
        <is>
          <t>INV-0001</t>
        </is>
      </c>
      <c r="B3" s="4" t="inlineStr">
        <is>
          <t>MAT-001542</t>
        </is>
      </c>
      <c r="C3" s="12" t="n">
        <v>500</v>
      </c>
      <c r="D3" s="12" t="n">
        <v>0</v>
      </c>
    </row>
    <row r="4">
      <c r="A4" s="6" t="inlineStr">
        <is>
          <t>INV-0002</t>
        </is>
      </c>
      <c r="B4" s="6" t="inlineStr">
        <is>
          <t>MAT-001543</t>
        </is>
      </c>
      <c r="C4" s="13" t="n">
        <v>120</v>
      </c>
      <c r="D4" s="13" t="n">
        <v>0</v>
      </c>
    </row>
    <row r="5">
      <c r="A5" s="4" t="inlineStr">
        <is>
          <t>INV-0003</t>
        </is>
      </c>
      <c r="B5" s="4" t="inlineStr">
        <is>
          <t>MAT-001544</t>
        </is>
      </c>
      <c r="C5" s="12" t="n">
        <v>6</v>
      </c>
      <c r="D5" s="12" t="n">
        <v>2</v>
      </c>
    </row>
    <row r="6">
      <c r="A6" s="6" t="inlineStr">
        <is>
          <t>INV-0004</t>
        </is>
      </c>
      <c r="B6" s="6" t="inlineStr">
        <is>
          <t>MAT-001545</t>
        </is>
      </c>
      <c r="C6" s="13" t="n">
        <v>4</v>
      </c>
      <c r="D6" s="13" t="n">
        <v>1</v>
      </c>
    </row>
    <row r="7">
      <c r="A7" s="4" t="inlineStr">
        <is>
          <t>INV-0005</t>
        </is>
      </c>
      <c r="B7" s="4" t="inlineStr">
        <is>
          <t>MAT-001546</t>
        </is>
      </c>
      <c r="C7" s="12" t="n">
        <v>2</v>
      </c>
      <c r="D7" s="12" t="n">
        <v>0</v>
      </c>
    </row>
    <row r="8">
      <c r="A8" s="6" t="inlineStr">
        <is>
          <t>INV-0006</t>
        </is>
      </c>
      <c r="B8" s="6" t="inlineStr">
        <is>
          <t>MAT-001547</t>
        </is>
      </c>
      <c r="C8" s="13" t="n">
        <v>80</v>
      </c>
      <c r="D8" s="13" t="n">
        <v>0</v>
      </c>
    </row>
    <row r="9">
      <c r="A9" s="4" t="inlineStr">
        <is>
          <t>INV-0007</t>
        </is>
      </c>
      <c r="B9" s="4" t="inlineStr">
        <is>
          <t>MAT-001548</t>
        </is>
      </c>
      <c r="C9" s="12" t="n">
        <v>3</v>
      </c>
      <c r="D9" s="1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8" customWidth="1" min="4" max="4"/>
    <col width="15" customWidth="1" min="5" max="5"/>
    <col width="12" customWidth="1" min="6" max="6"/>
    <col width="18" customWidth="1" min="7" max="7"/>
    <col width="16" customWidth="1" min="8" max="8"/>
    <col width="16" customWidth="1" min="9" max="9"/>
    <col width="26" customWidth="1" min="10" max="10"/>
    <col width="21" customWidth="1" min="11" max="11"/>
    <col width="11" customWidth="1" min="12" max="12"/>
    <col width="12" customWidth="1" min="13" max="13"/>
    <col width="25" customWidth="1" min="14" max="14"/>
    <col width="21" customWidth="1" min="15" max="15"/>
    <col width="27" customWidth="1" min="16" max="16"/>
    <col width="26" customWidth="1" min="17" max="17"/>
    <col width="13" customWidth="1" min="18" max="18"/>
    <col width="18" customWidth="1" min="19" max="19"/>
    <col width="14" customWidth="1" min="20" max="20"/>
    <col width="13" customWidth="1" min="21" max="21"/>
  </cols>
  <sheetData>
    <row r="1">
      <c r="A1" s="1" t="inlineStr">
        <is>
          <t>Orders</t>
        </is>
      </c>
      <c r="B1" s="2" t="inlineStr">
        <is>
          <t>کنترل اولیه سفارش (CO_01..CO_04)؛ تا Ready_Flag=READY نباشد ورود به مهندسی مجاز نیست.</t>
        </is>
      </c>
    </row>
    <row r="2">
      <c r="A2" s="3" t="inlineStr">
        <is>
          <t>System_ID</t>
        </is>
      </c>
      <c r="B2" s="3" t="inlineStr">
        <is>
          <t>Customer_ID</t>
        </is>
      </c>
      <c r="C2" s="3" t="inlineStr">
        <is>
          <t>Order_Date</t>
        </is>
      </c>
      <c r="D2" s="3" t="inlineStr">
        <is>
          <t>Requested_Delivery_Date</t>
        </is>
      </c>
      <c r="E2" s="3" t="inlineStr">
        <is>
          <t>Request_Type</t>
        </is>
      </c>
      <c r="F2" s="3" t="inlineStr">
        <is>
          <t>Total_Qty</t>
        </is>
      </c>
      <c r="G2" s="3" t="inlineStr">
        <is>
          <t>Delivery_Terms</t>
        </is>
      </c>
      <c r="H2" s="3" t="inlineStr">
        <is>
          <t>Payment_Terms</t>
        </is>
      </c>
      <c r="I2" s="3" t="inlineStr">
        <is>
          <t>Validity_Days</t>
        </is>
      </c>
      <c r="J2" s="3" t="inlineStr">
        <is>
          <t>Confidentiality_Level</t>
        </is>
      </c>
      <c r="K2" s="3" t="inlineStr">
        <is>
          <t>Sales_Responsible</t>
        </is>
      </c>
      <c r="L2" s="3" t="inlineStr">
        <is>
          <t>Doc_Ref</t>
        </is>
      </c>
      <c r="M2" s="3" t="inlineStr">
        <is>
          <t>Status_ID</t>
        </is>
      </c>
      <c r="N2" s="3" t="inlineStr">
        <is>
          <t>CO_01_Customer_Valid</t>
        </is>
      </c>
      <c r="O2" s="3" t="inlineStr">
        <is>
          <t>CO_02_Qty_Defined</t>
        </is>
      </c>
      <c r="P2" s="3" t="inlineStr">
        <is>
          <t>CO_03_Delivery_Defined</t>
        </is>
      </c>
      <c r="Q2" s="3" t="inlineStr">
        <is>
          <t>CO_04_Payment_Defined</t>
        </is>
      </c>
      <c r="R2" s="3" t="inlineStr">
        <is>
          <t>Ready_Flag</t>
        </is>
      </c>
      <c r="S2" s="3" t="inlineStr">
        <is>
          <t>Duplicate_Flag</t>
        </is>
      </c>
      <c r="T2" s="3" t="inlineStr">
        <is>
          <t>Create_Date</t>
        </is>
      </c>
      <c r="U2" s="3" t="inlineStr">
        <is>
          <t>Created_By</t>
        </is>
      </c>
    </row>
    <row r="3">
      <c r="A3" s="4" t="inlineStr">
        <is>
          <t>ORD-2026-00321</t>
        </is>
      </c>
      <c r="B3" s="4" t="inlineStr">
        <is>
          <t>CUS-000001</t>
        </is>
      </c>
      <c r="C3" s="10" t="n">
        <v>46285</v>
      </c>
      <c r="D3" s="10" t="n">
        <v>46376</v>
      </c>
      <c r="E3" s="4" t="inlineStr">
        <is>
          <t>New</t>
        </is>
      </c>
      <c r="F3" s="5">
        <f>SUMIF(Order_Lines!$B$3:$B$20,$A3,Order_Lines!$E$3:$E$20)</f>
        <v/>
      </c>
      <c r="G3" s="4" t="inlineStr">
        <is>
          <t>CPT سایت عسلویه</t>
        </is>
      </c>
      <c r="H3" s="4" t="inlineStr">
        <is>
          <t>30% پیش‌پرداخت + 70% اعتبار 60 روزه</t>
        </is>
      </c>
      <c r="I3" s="14" t="n">
        <v>30</v>
      </c>
      <c r="J3" s="8" t="inlineStr">
        <is>
          <t>Confidential</t>
        </is>
      </c>
      <c r="K3" s="4" t="inlineStr">
        <is>
          <t>USR-02</t>
        </is>
      </c>
      <c r="L3" s="4" t="inlineStr">
        <is>
          <t>RFQ-SABA-2026-09-001</t>
        </is>
      </c>
      <c r="M3" s="4" t="inlineStr">
        <is>
          <t>Approved</t>
        </is>
      </c>
      <c r="N3" s="4">
        <f>IF(TRIM($B3)&lt;&gt;"","OK","MISSING")</f>
        <v/>
      </c>
      <c r="O3" s="10">
        <f>IF(SUMIF(Order_Lines!$B$3:$B$20,$A3,Order_Lines!$E$3:$E$20)&gt;0,"OK","MISSING")</f>
        <v/>
      </c>
      <c r="P3" s="10">
        <f>IF(TRIM($D3)&lt;&gt;"","OK","MISSING")</f>
        <v/>
      </c>
      <c r="Q3" s="10">
        <f>IF(TRIM($H3)&lt;&gt;"","OK","MISSING")</f>
        <v/>
      </c>
      <c r="R3" s="4">
        <f>IF(AND($N3="OK",$O3="OK",$P3="OK",$Q3="OK"),"READY","INCOMPLETE")</f>
        <v/>
      </c>
      <c r="S3" s="4">
        <f>IF(COUNTIF($A$3:$A$1000,$A3)&gt;1,"DUP","OK")</f>
        <v/>
      </c>
      <c r="T3" s="10" t="n">
        <v>46285</v>
      </c>
      <c r="U3" s="10" t="inlineStr">
        <is>
          <t>USR-02</t>
        </is>
      </c>
    </row>
    <row r="4">
      <c r="A4" s="6" t="inlineStr">
        <is>
          <t>ORD-2026-00322</t>
        </is>
      </c>
      <c r="B4" s="6" t="inlineStr">
        <is>
          <t>CUS-000002</t>
        </is>
      </c>
      <c r="C4" s="11" t="n">
        <v>46286</v>
      </c>
      <c r="D4" s="11" t="n">
        <v>46402</v>
      </c>
      <c r="E4" s="6" t="inlineStr">
        <is>
          <t>New</t>
        </is>
      </c>
      <c r="F4" s="7">
        <f>SUMIF(Order_Lines!$B$3:$B$20,$A4,Order_Lines!$E$3:$E$20)</f>
        <v/>
      </c>
      <c r="G4" s="6" t="inlineStr">
        <is>
          <t>CPT بندرعباس</t>
        </is>
      </c>
      <c r="H4" s="6" t="inlineStr">
        <is>
          <t>LC</t>
        </is>
      </c>
      <c r="I4" s="15" t="n">
        <v>45</v>
      </c>
      <c r="J4" s="9" t="inlineStr">
        <is>
          <t>Internal</t>
        </is>
      </c>
      <c r="K4" s="6" t="inlineStr">
        <is>
          <t>USR-02</t>
        </is>
      </c>
      <c r="L4" s="6" t="inlineStr">
        <is>
          <t>RFQ-STAREH-2026-09-002</t>
        </is>
      </c>
      <c r="M4" s="6" t="inlineStr">
        <is>
          <t>Draft</t>
        </is>
      </c>
      <c r="N4" s="6">
        <f>IF(TRIM($B4)&lt;&gt;"","OK","MISSING")</f>
        <v/>
      </c>
      <c r="O4" s="11">
        <f>IF(SUMIF(Order_Lines!$B$3:$B$20,$A4,Order_Lines!$E$3:$E$20)&gt;0,"OK","MISSING")</f>
        <v/>
      </c>
      <c r="P4" s="11">
        <f>IF(TRIM($D4)&lt;&gt;"","OK","MISSING")</f>
        <v/>
      </c>
      <c r="Q4" s="11">
        <f>IF(TRIM($H4)&lt;&gt;"","OK","MISSING")</f>
        <v/>
      </c>
      <c r="R4" s="6">
        <f>IF(AND($N4="OK",$O4="OK",$P4="OK",$Q4="OK"),"READY","INCOMPLETE")</f>
        <v/>
      </c>
      <c r="S4" s="6">
        <f>IF(COUNTIF($A$3:$A$1000,$A4)&gt;1,"DUP","OK")</f>
        <v/>
      </c>
      <c r="T4" s="11" t="n">
        <v>46285</v>
      </c>
      <c r="U4" s="11" t="inlineStr">
        <is>
          <t>USR-02</t>
        </is>
      </c>
    </row>
    <row r="5">
      <c r="A5" s="4" t="inlineStr">
        <is>
          <t>ORD-2026-00323</t>
        </is>
      </c>
      <c r="B5" s="4" t="inlineStr">
        <is>
          <t>CUS-000001</t>
        </is>
      </c>
      <c r="C5" s="10" t="n">
        <v>46286</v>
      </c>
      <c r="D5" s="10" t="n"/>
      <c r="E5" s="4" t="inlineStr">
        <is>
          <t>New</t>
        </is>
      </c>
      <c r="F5" s="5">
        <f>SUMIF(Order_Lines!$B$3:$B$20,$A5,Order_Lines!$E$3:$E$20)</f>
        <v/>
      </c>
      <c r="G5" s="4" t="inlineStr"/>
      <c r="H5" s="4" t="inlineStr"/>
      <c r="I5" s="14" t="n">
        <v>30</v>
      </c>
      <c r="J5" s="8" t="inlineStr">
        <is>
          <t>Internal</t>
        </is>
      </c>
      <c r="K5" s="4" t="inlineStr">
        <is>
          <t>USR-02</t>
        </is>
      </c>
      <c r="L5" s="4" t="inlineStr">
        <is>
          <t>RFQ-SABA-2026-09-009</t>
        </is>
      </c>
      <c r="M5" s="4" t="inlineStr">
        <is>
          <t>Draft</t>
        </is>
      </c>
      <c r="N5" s="4">
        <f>IF(TRIM($B5)&lt;&gt;"","OK","MISSING")</f>
        <v/>
      </c>
      <c r="O5" s="10">
        <f>IF(SUMIF(Order_Lines!$B$3:$B$20,$A5,Order_Lines!$E$3:$E$20)&gt;0,"OK","MISSING")</f>
        <v/>
      </c>
      <c r="P5" s="10">
        <f>IF(TRIM($D5)&lt;&gt;"","OK","MISSING")</f>
        <v/>
      </c>
      <c r="Q5" s="10">
        <f>IF(TRIM($H5)&lt;&gt;"","OK","MISSING")</f>
        <v/>
      </c>
      <c r="R5" s="4">
        <f>IF(AND($N5="OK",$O5="OK",$P5="OK",$Q5="OK"),"READY","INCOMPLETE")</f>
        <v/>
      </c>
      <c r="S5" s="4">
        <f>IF(COUNTIF($A$3:$A$1000,$A5)&gt;1,"DUP","OK")</f>
        <v/>
      </c>
      <c r="T5" s="10" t="n">
        <v>46285</v>
      </c>
      <c r="U5" s="10" t="inlineStr">
        <is>
          <t>USR-02</t>
        </is>
      </c>
    </row>
  </sheetData>
  <conditionalFormatting sqref="R3:R5">
    <cfRule type="cellIs" priority="1" operator="equal" dxfId="0">
      <formula>"READY"</formula>
    </cfRule>
    <cfRule type="cellIs" priority="2" operator="equal" dxfId="1">
      <formula>"INCOMPLETE"</formula>
    </cfRule>
  </conditionalFormatting>
  <dataValidations count="3">
    <dataValidation sqref="E3:E5" showDropDown="0" showInputMessage="0" showErrorMessage="1" allowBlank="1" errorTitle="Data Validation" error="مقدار خارج از فهرست مجاز است" promptTitle="Request_Type" prompt="انتخاب از فهرست مجاز برای Request_Type" type="list">
      <formula1>"New,Repeat,Amendment"</formula1>
    </dataValidation>
    <dataValidation sqref="J3:J5" showDropDown="0" showInputMessage="0" showErrorMessage="1" allowBlank="1" errorTitle="Data Validation" error="مقدار خارج از فهرست مجاز است" promptTitle="Confidentiality_Level" prompt="انتخاب از فهرست مجاز برای Confidentiality_Level" type="list">
      <formula1>"Public,Internal,Confidential,Strictly Confidential"</formula1>
    </dataValidation>
    <dataValidation sqref="M3:M5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4" customWidth="1" min="7" max="7"/>
    <col width="14" customWidth="1" min="8" max="8"/>
    <col width="13" customWidth="1" min="9" max="9"/>
  </cols>
  <sheetData>
    <row r="1">
      <c r="A1" s="1" t="inlineStr">
        <is>
          <t>Order_Lines</t>
        </is>
      </c>
      <c r="B1" s="2" t="inlineStr">
        <is>
          <t>هر سفارش می‌تواند چند ردیف محصول داشته باشد (Order → Order_Line → Product).</t>
        </is>
      </c>
    </row>
    <row r="2">
      <c r="A2" s="3" t="inlineStr">
        <is>
          <t>System_ID</t>
        </is>
      </c>
      <c r="B2" s="3" t="inlineStr">
        <is>
          <t>Order_ID</t>
        </is>
      </c>
      <c r="C2" s="3" t="inlineStr">
        <is>
          <t>Line_No</t>
        </is>
      </c>
      <c r="D2" s="3" t="inlineStr">
        <is>
          <t>Product_ID</t>
        </is>
      </c>
      <c r="E2" s="3" t="inlineStr">
        <is>
          <t>Quantity</t>
        </is>
      </c>
      <c r="F2" s="3" t="inlineStr">
        <is>
          <t>UoM</t>
        </is>
      </c>
      <c r="G2" s="3" t="inlineStr">
        <is>
          <t>Latest_FLAG</t>
        </is>
      </c>
      <c r="H2" s="3" t="inlineStr">
        <is>
          <t>Create_Date</t>
        </is>
      </c>
      <c r="I2" s="3" t="inlineStr">
        <is>
          <t>Created_By</t>
        </is>
      </c>
    </row>
    <row r="3">
      <c r="A3" s="4" t="inlineStr">
        <is>
          <t>OLN-000456</t>
        </is>
      </c>
      <c r="B3" s="4" t="inlineStr">
        <is>
          <t>ORD-2026-00321</t>
        </is>
      </c>
      <c r="C3" s="8" t="n">
        <v>1</v>
      </c>
      <c r="D3" s="4" t="inlineStr">
        <is>
          <t>PRD-000125</t>
        </is>
      </c>
      <c r="E3" s="8" t="n">
        <v>2</v>
      </c>
      <c r="F3" s="4" t="inlineStr">
        <is>
          <t>pcs</t>
        </is>
      </c>
      <c r="G3" s="4" t="n">
        <v>1</v>
      </c>
      <c r="H3" s="10" t="n">
        <v>46285</v>
      </c>
      <c r="I3" s="10" t="inlineStr">
        <is>
          <t>USR-02</t>
        </is>
      </c>
    </row>
    <row r="4">
      <c r="A4" s="6" t="inlineStr">
        <is>
          <t>OLN-000457</t>
        </is>
      </c>
      <c r="B4" s="6" t="inlineStr">
        <is>
          <t>ORD-2026-00321</t>
        </is>
      </c>
      <c r="C4" s="9" t="n">
        <v>2</v>
      </c>
      <c r="D4" s="6" t="inlineStr">
        <is>
          <t>PRD-000126</t>
        </is>
      </c>
      <c r="E4" s="9" t="n">
        <v>1</v>
      </c>
      <c r="F4" s="6" t="inlineStr">
        <is>
          <t>pcs</t>
        </is>
      </c>
      <c r="G4" s="6" t="n">
        <v>1</v>
      </c>
      <c r="H4" s="11" t="n">
        <v>46285</v>
      </c>
      <c r="I4" s="11" t="inlineStr">
        <is>
          <t>USR-02</t>
        </is>
      </c>
    </row>
    <row r="5">
      <c r="A5" s="4" t="inlineStr">
        <is>
          <t>OLN-000458</t>
        </is>
      </c>
      <c r="B5" s="4" t="inlineStr">
        <is>
          <t>ORD-2026-00322</t>
        </is>
      </c>
      <c r="C5" s="8" t="n">
        <v>1</v>
      </c>
      <c r="D5" s="4" t="inlineStr">
        <is>
          <t>PRD-000125</t>
        </is>
      </c>
      <c r="E5" s="8" t="n">
        <v>1</v>
      </c>
      <c r="F5" s="4" t="inlineStr">
        <is>
          <t>pcs</t>
        </is>
      </c>
      <c r="G5" s="4" t="n">
        <v>1</v>
      </c>
      <c r="H5" s="10" t="n">
        <v>46285</v>
      </c>
      <c r="I5" s="10" t="inlineStr">
        <is>
          <t>USR-02</t>
        </is>
      </c>
    </row>
  </sheetData>
  <dataValidations count="1">
    <dataValidation sqref="F3:F5" showDropDown="0" showInputMessage="0" showErrorMessage="1" allowBlank="1" errorTitle="Data Validation" error="مقدار خارج از فهرست مجاز است" promptTitle="UoM" prompt="انتخاب از فهرست مجاز برای UoM" type="list">
      <formula1>"pcs,kg,m,m2,liter,set,ton"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4" customWidth="1" min="4" max="4"/>
    <col width="13" customWidth="1" min="5" max="5"/>
    <col width="15" customWidth="1" min="6" max="6"/>
    <col width="19" customWidth="1" min="7" max="7"/>
    <col width="13" customWidth="1" min="8" max="8"/>
    <col width="11" customWidth="1" min="9" max="9"/>
    <col width="11" customWidth="1" min="10" max="10"/>
    <col width="12" customWidth="1" min="11" max="11"/>
    <col width="13" customWidth="1" min="12" max="12"/>
    <col width="11" customWidth="1" min="13" max="13"/>
    <col width="12" customWidth="1" min="14" max="14"/>
    <col width="15" customWidth="1" min="15" max="15"/>
    <col width="14" customWidth="1" min="16" max="16"/>
    <col width="13" customWidth="1" min="17" max="17"/>
  </cols>
  <sheetData>
    <row r="1">
      <c r="A1" s="1" t="inlineStr">
        <is>
          <t>Projects</t>
        </is>
      </c>
    </row>
    <row r="2">
      <c r="A2" s="3" t="inlineStr">
        <is>
          <t>System_ID</t>
        </is>
      </c>
      <c r="B2" s="3" t="inlineStr">
        <is>
          <t>Project_Code</t>
        </is>
      </c>
      <c r="C2" s="3" t="inlineStr">
        <is>
          <t>Order_ID</t>
        </is>
      </c>
      <c r="D2" s="3" t="inlineStr">
        <is>
          <t>Customer_ID</t>
        </is>
      </c>
      <c r="E2" s="3" t="inlineStr">
        <is>
          <t>Product_ID</t>
        </is>
      </c>
      <c r="F2" s="3" t="inlineStr">
        <is>
          <t>Project_Name</t>
        </is>
      </c>
      <c r="G2" s="3" t="inlineStr">
        <is>
          <t>Project_Manager</t>
        </is>
      </c>
      <c r="H2" s="3" t="inlineStr">
        <is>
          <t>Start_Date</t>
        </is>
      </c>
      <c r="I2" s="3" t="inlineStr">
        <is>
          <t>Due_Date</t>
        </is>
      </c>
      <c r="J2" s="3" t="inlineStr">
        <is>
          <t>Priority</t>
        </is>
      </c>
      <c r="K2" s="3" t="inlineStr">
        <is>
          <t>Status_ID</t>
        </is>
      </c>
      <c r="L2" s="3" t="inlineStr">
        <is>
          <t>Progress_%</t>
        </is>
      </c>
      <c r="M2" s="3" t="inlineStr">
        <is>
          <t>Sponsor</t>
        </is>
      </c>
      <c r="N2" s="3" t="inlineStr">
        <is>
          <t>Team_List</t>
        </is>
      </c>
      <c r="O2" s="3" t="inlineStr">
        <is>
          <t>Overdue_Flag</t>
        </is>
      </c>
      <c r="P2" s="3" t="inlineStr">
        <is>
          <t>Create_Date</t>
        </is>
      </c>
      <c r="Q2" s="3" t="inlineStr">
        <is>
          <t>Created_By</t>
        </is>
      </c>
    </row>
    <row r="3">
      <c r="A3" s="4" t="inlineStr">
        <is>
          <t>PRJ-2026-00125</t>
        </is>
      </c>
      <c r="B3" s="4" t="inlineStr">
        <is>
          <t>PRJ-001</t>
        </is>
      </c>
      <c r="C3" s="4" t="inlineStr">
        <is>
          <t>ORD-2026-00321</t>
        </is>
      </c>
      <c r="D3" s="4" t="inlineStr">
        <is>
          <t>CUS-000001</t>
        </is>
      </c>
      <c r="E3" s="4" t="inlineStr">
        <is>
          <t>PRD-000125</t>
        </is>
      </c>
      <c r="F3" s="4" t="inlineStr">
        <is>
          <t>پمپ PMP-250 صبا</t>
        </is>
      </c>
      <c r="G3" s="4" t="inlineStr">
        <is>
          <t>USR-03</t>
        </is>
      </c>
      <c r="H3" s="10" t="n">
        <v>46286</v>
      </c>
      <c r="I3" s="10" t="n">
        <v>46376</v>
      </c>
      <c r="J3" s="4" t="inlineStr">
        <is>
          <t>High</t>
        </is>
      </c>
      <c r="K3" s="4" t="inlineStr">
        <is>
          <t>Approved</t>
        </is>
      </c>
      <c r="L3" s="16" t="n">
        <v>0.45</v>
      </c>
      <c r="M3" s="4" t="inlineStr">
        <is>
          <t>USR-08</t>
        </is>
      </c>
      <c r="N3" s="4" t="inlineStr">
        <is>
          <t>Neda E, Kaveh P, Mina T, Ali F</t>
        </is>
      </c>
      <c r="O3" s="4">
        <f>IF(ISBLANK($I3),0,IF(AND($I3&lt;TODAY(),$K3&lt;&gt;"Closed"),1,0))</f>
        <v/>
      </c>
      <c r="P3" s="10" t="n">
        <v>46286</v>
      </c>
      <c r="Q3" s="10" t="inlineStr">
        <is>
          <t>USR-03</t>
        </is>
      </c>
    </row>
    <row r="4">
      <c r="A4" s="6" t="inlineStr">
        <is>
          <t>PRJ-2026-00126</t>
        </is>
      </c>
      <c r="B4" s="6" t="inlineStr">
        <is>
          <t>PRJ-002</t>
        </is>
      </c>
      <c r="C4" s="6" t="inlineStr">
        <is>
          <t>ORD-2026-00322</t>
        </is>
      </c>
      <c r="D4" s="6" t="inlineStr">
        <is>
          <t>CUS-000002</t>
        </is>
      </c>
      <c r="E4" s="6" t="inlineStr">
        <is>
          <t>PRD-000125</t>
        </is>
      </c>
      <c r="F4" s="6" t="inlineStr">
        <is>
          <t>پمپ PMP-250 ستاره</t>
        </is>
      </c>
      <c r="G4" s="6" t="inlineStr">
        <is>
          <t>USR-03</t>
        </is>
      </c>
      <c r="H4" s="11" t="n">
        <v>46287</v>
      </c>
      <c r="I4" s="11" t="n">
        <v>46402</v>
      </c>
      <c r="J4" s="6" t="inlineStr">
        <is>
          <t>Medium</t>
        </is>
      </c>
      <c r="K4" s="6" t="inlineStr">
        <is>
          <t>Draft</t>
        </is>
      </c>
      <c r="L4" s="17" t="n">
        <v>0.05</v>
      </c>
      <c r="M4" s="6" t="inlineStr">
        <is>
          <t>USR-08</t>
        </is>
      </c>
      <c r="N4" s="6" t="inlineStr">
        <is>
          <t>TBD</t>
        </is>
      </c>
      <c r="O4" s="6">
        <f>IF(ISBLANK($I4),0,IF(AND($I4&lt;TODAY(),$K4&lt;&gt;"Closed"),1,0))</f>
        <v/>
      </c>
      <c r="P4" s="11" t="n">
        <v>46286</v>
      </c>
      <c r="Q4" s="11" t="inlineStr">
        <is>
          <t>USR-03</t>
        </is>
      </c>
    </row>
  </sheetData>
  <conditionalFormatting sqref="O3:O4">
    <cfRule type="cellIs" priority="1" operator="equal" dxfId="0">
      <formula>1</formula>
    </cfRule>
    <cfRule type="cellIs" priority="2" operator="equal" dxfId="1">
      <formula>0</formula>
    </cfRule>
  </conditionalFormatting>
  <dataValidations count="2">
    <dataValidation sqref="J3:J4" showDropDown="0" showInputMessage="0" showErrorMessage="1" allowBlank="1" errorTitle="Data Validation" error="مقدار خارج از فهرست مجاز است" promptTitle="Priority" prompt="انتخاب از فهرست مجاز برای Priority" type="list">
      <formula1>"Low,Medium,High,Critical"</formula1>
    </dataValidation>
    <dataValidation sqref="K3:K4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5" customWidth="1" min="4" max="4"/>
    <col width="13" customWidth="1" min="5" max="5"/>
    <col width="11" customWidth="1" min="6" max="6"/>
    <col width="11" customWidth="1" min="7" max="7"/>
  </cols>
  <sheetData>
    <row r="1">
      <c r="A1" s="1" t="inlineStr">
        <is>
          <t>Project_Statuses</t>
        </is>
      </c>
    </row>
    <row r="2">
      <c r="A2" s="3" t="inlineStr">
        <is>
          <t>System_ID</t>
        </is>
      </c>
      <c r="B2" s="3" t="inlineStr">
        <is>
          <t>Project_ID</t>
        </is>
      </c>
      <c r="C2" s="3" t="inlineStr">
        <is>
          <t>Stage</t>
        </is>
      </c>
      <c r="D2" s="3" t="inlineStr">
        <is>
          <t>Stage_Status</t>
        </is>
      </c>
      <c r="E2" s="3" t="inlineStr">
        <is>
          <t>Start_Date</t>
        </is>
      </c>
      <c r="F2" s="3" t="inlineStr">
        <is>
          <t>End_Date</t>
        </is>
      </c>
      <c r="G2" s="3" t="inlineStr">
        <is>
          <t>Remark</t>
        </is>
      </c>
    </row>
    <row r="3">
      <c r="A3" s="4" t="inlineStr">
        <is>
          <t>PS-0001</t>
        </is>
      </c>
      <c r="B3" s="4" t="inlineStr">
        <is>
          <t>PRJ-2026-00125</t>
        </is>
      </c>
      <c r="C3" s="4" t="inlineStr">
        <is>
          <t>Sales</t>
        </is>
      </c>
      <c r="D3" s="4" t="inlineStr">
        <is>
          <t>Completed</t>
        </is>
      </c>
      <c r="E3" s="10" t="n">
        <v>46285</v>
      </c>
      <c r="F3" s="10" t="n">
        <v>46286</v>
      </c>
      <c r="G3" s="4" t="inlineStr"/>
    </row>
    <row r="4">
      <c r="A4" s="6" t="inlineStr">
        <is>
          <t>PS-0002</t>
        </is>
      </c>
      <c r="B4" s="6" t="inlineStr">
        <is>
          <t>PRJ-2026-00125</t>
        </is>
      </c>
      <c r="C4" s="6" t="inlineStr">
        <is>
          <t>Engineering</t>
        </is>
      </c>
      <c r="D4" s="6" t="inlineStr">
        <is>
          <t>Completed</t>
        </is>
      </c>
      <c r="E4" s="11" t="n">
        <v>46286</v>
      </c>
      <c r="F4" s="11" t="n">
        <v>46295</v>
      </c>
      <c r="G4" s="6" t="inlineStr">
        <is>
          <t>BOM R5 تأیید شد</t>
        </is>
      </c>
    </row>
    <row r="5">
      <c r="A5" s="4" t="inlineStr">
        <is>
          <t>PS-0003</t>
        </is>
      </c>
      <c r="B5" s="4" t="inlineStr">
        <is>
          <t>PRJ-2026-00125</t>
        </is>
      </c>
      <c r="C5" s="4" t="inlineStr">
        <is>
          <t>Planning</t>
        </is>
      </c>
      <c r="D5" s="4" t="inlineStr">
        <is>
          <t>In Progress</t>
        </is>
      </c>
      <c r="E5" s="10" t="n">
        <v>46296</v>
      </c>
      <c r="F5" s="10" t="n"/>
      <c r="G5" s="4" t="inlineStr">
        <is>
          <t>برآورد نیاز در حال انجام</t>
        </is>
      </c>
    </row>
    <row r="6">
      <c r="A6" s="6" t="inlineStr">
        <is>
          <t>PS-0004</t>
        </is>
      </c>
      <c r="B6" s="6" t="inlineStr">
        <is>
          <t>PRJ-2026-00125</t>
        </is>
      </c>
      <c r="C6" s="6" t="inlineStr">
        <is>
          <t>Procurement</t>
        </is>
      </c>
      <c r="D6" s="6" t="inlineStr">
        <is>
          <t>Pending</t>
        </is>
      </c>
      <c r="E6" s="11" t="n"/>
      <c r="F6" s="11" t="n"/>
      <c r="G6" s="6" t="inlineStr"/>
    </row>
    <row r="7">
      <c r="A7" s="4" t="inlineStr">
        <is>
          <t>PS-0005</t>
        </is>
      </c>
      <c r="B7" s="4" t="inlineStr">
        <is>
          <t>PRJ-2026-00125</t>
        </is>
      </c>
      <c r="C7" s="4" t="inlineStr">
        <is>
          <t>Finance</t>
        </is>
      </c>
      <c r="D7" s="4" t="inlineStr">
        <is>
          <t>Pending</t>
        </is>
      </c>
      <c r="E7" s="10" t="n"/>
      <c r="F7" s="10" t="n"/>
      <c r="G7" s="4" t="inlineStr"/>
    </row>
    <row r="8">
      <c r="A8" s="6" t="inlineStr">
        <is>
          <t>PS-0006</t>
        </is>
      </c>
      <c r="B8" s="6" t="inlineStr">
        <is>
          <t>PRJ-2026-00125</t>
        </is>
      </c>
      <c r="C8" s="6" t="inlineStr">
        <is>
          <t>Management</t>
        </is>
      </c>
      <c r="D8" s="6" t="inlineStr">
        <is>
          <t>Pending</t>
        </is>
      </c>
      <c r="E8" s="11" t="n"/>
      <c r="F8" s="11" t="n"/>
      <c r="G8" s="6" t="inlineStr"/>
    </row>
    <row r="9">
      <c r="A9" s="4" t="inlineStr">
        <is>
          <t>PS-0007</t>
        </is>
      </c>
      <c r="B9" s="4" t="inlineStr">
        <is>
          <t>PRJ-2026-00126</t>
        </is>
      </c>
      <c r="C9" s="4" t="inlineStr">
        <is>
          <t>Sales</t>
        </is>
      </c>
      <c r="D9" s="4" t="inlineStr">
        <is>
          <t>In Review</t>
        </is>
      </c>
      <c r="E9" s="10" t="n">
        <v>46286</v>
      </c>
      <c r="F9" s="10" t="n"/>
      <c r="G9" s="4" t="inlineStr"/>
    </row>
    <row r="10">
      <c r="A10" s="6" t="inlineStr">
        <is>
          <t>PS-0008</t>
        </is>
      </c>
      <c r="B10" s="6" t="inlineStr">
        <is>
          <t>PRJ-2026-00126</t>
        </is>
      </c>
      <c r="C10" s="6" t="inlineStr">
        <is>
          <t>Engineering</t>
        </is>
      </c>
      <c r="D10" s="6" t="inlineStr">
        <is>
          <t>Pending</t>
        </is>
      </c>
      <c r="E10" s="11" t="n"/>
      <c r="F10" s="11" t="n"/>
      <c r="G10" s="6" t="inlineStr"/>
    </row>
    <row r="11">
      <c r="A11" s="4" t="inlineStr">
        <is>
          <t>PS-0009</t>
        </is>
      </c>
      <c r="B11" s="4" t="inlineStr">
        <is>
          <t>PRJ-2026-00126</t>
        </is>
      </c>
      <c r="C11" s="4" t="inlineStr">
        <is>
          <t>Planning</t>
        </is>
      </c>
      <c r="D11" s="4" t="inlineStr">
        <is>
          <t>Pending</t>
        </is>
      </c>
      <c r="E11" s="10" t="n"/>
      <c r="F11" s="10" t="n"/>
      <c r="G11" s="4" t="inlineStr"/>
    </row>
    <row r="12">
      <c r="A12" s="6" t="inlineStr">
        <is>
          <t>PS-0010</t>
        </is>
      </c>
      <c r="B12" s="6" t="inlineStr">
        <is>
          <t>PRJ-2026-00126</t>
        </is>
      </c>
      <c r="C12" s="6" t="inlineStr">
        <is>
          <t>Procurement</t>
        </is>
      </c>
      <c r="D12" s="6" t="inlineStr">
        <is>
          <t>Pending</t>
        </is>
      </c>
      <c r="E12" s="11" t="n"/>
      <c r="F12" s="11" t="n"/>
      <c r="G12" s="6" t="inlineStr"/>
    </row>
    <row r="13">
      <c r="A13" s="4" t="inlineStr">
        <is>
          <t>PS-0011</t>
        </is>
      </c>
      <c r="B13" s="4" t="inlineStr">
        <is>
          <t>PRJ-2026-00126</t>
        </is>
      </c>
      <c r="C13" s="4" t="inlineStr">
        <is>
          <t>Finance</t>
        </is>
      </c>
      <c r="D13" s="4" t="inlineStr">
        <is>
          <t>Pending</t>
        </is>
      </c>
      <c r="E13" s="10" t="n"/>
      <c r="F13" s="10" t="n"/>
      <c r="G13" s="4" t="inlineStr"/>
    </row>
    <row r="14">
      <c r="A14" s="6" t="inlineStr">
        <is>
          <t>PS-0012</t>
        </is>
      </c>
      <c r="B14" s="6" t="inlineStr">
        <is>
          <t>PRJ-2026-00126</t>
        </is>
      </c>
      <c r="C14" s="6" t="inlineStr">
        <is>
          <t>Management</t>
        </is>
      </c>
      <c r="D14" s="6" t="inlineStr">
        <is>
          <t>Pending</t>
        </is>
      </c>
      <c r="E14" s="11" t="n"/>
      <c r="F14" s="11" t="n"/>
      <c r="G14" s="6" t="inlineStr"/>
    </row>
  </sheetData>
  <dataValidations count="2">
    <dataValidation sqref="C3:C14" showDropDown="0" showInputMessage="0" showErrorMessage="1" allowBlank="1" errorTitle="Data Validation" error="مقدار خارج از فهرست مجاز است" promptTitle="Stage" prompt="انتخاب از فهرست مجاز برای Stage" type="list">
      <formula1>"Sales,Engineering,Planning,Procurement,Finance,Management"</formula1>
    </dataValidation>
    <dataValidation sqref="D3:D14" showDropDown="0" showInputMessage="0" showErrorMessage="1" allowBlank="1" errorTitle="Data Validation" error="مقدار خارج از فهرست مجاز است" promptTitle="Stage_Status" prompt="انتخاب از فهرست مجاز برای Stage_Status" type="list">
      <formula1>"Completed,In Progress,Pending,Not Started,Blocked"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3" customWidth="1" min="4" max="4"/>
    <col width="13" customWidth="1" min="5" max="5"/>
    <col width="20" customWidth="1" min="6" max="6"/>
    <col width="19" customWidth="1" min="7" max="7"/>
    <col width="12" customWidth="1" min="8" max="8"/>
    <col width="11" customWidth="1" min="9" max="9"/>
    <col width="11" customWidth="1" min="10" max="10"/>
    <col width="11" customWidth="1" min="11" max="11"/>
    <col width="12" customWidth="1" min="12" max="12"/>
    <col width="21" customWidth="1" min="13" max="13"/>
    <col width="15" customWidth="1" min="14" max="14"/>
    <col width="14" customWidth="1" min="15" max="15"/>
    <col width="14" customWidth="1" min="16" max="16"/>
    <col width="13" customWidth="1" min="17" max="17"/>
  </cols>
  <sheetData>
    <row r="1">
      <c r="A1" s="1" t="inlineStr">
        <is>
          <t>Engineering</t>
        </is>
      </c>
    </row>
    <row r="2">
      <c r="A2" s="3" t="inlineStr">
        <is>
          <t>System_ID</t>
        </is>
      </c>
      <c r="B2" s="3" t="inlineStr">
        <is>
          <t>Project_ID</t>
        </is>
      </c>
      <c r="C2" s="3" t="inlineStr">
        <is>
          <t>Product_ID</t>
        </is>
      </c>
      <c r="D2" s="3" t="inlineStr">
        <is>
          <t>Product_Revision_ID</t>
        </is>
      </c>
      <c r="E2" s="3" t="inlineStr">
        <is>
          <t>Drawing_No</t>
        </is>
      </c>
      <c r="F2" s="3" t="inlineStr">
        <is>
          <t>Drawing_Revision</t>
        </is>
      </c>
      <c r="G2" s="3" t="inlineStr">
        <is>
          <t>BOM_Revision_ID</t>
        </is>
      </c>
      <c r="H2" s="3" t="inlineStr">
        <is>
          <t>Status_ID</t>
        </is>
      </c>
      <c r="I2" s="3" t="inlineStr">
        <is>
          <t>Process</t>
        </is>
      </c>
      <c r="J2" s="3" t="inlineStr">
        <is>
          <t>Machine</t>
        </is>
      </c>
      <c r="K2" s="3" t="inlineStr">
        <is>
          <t>Tooling</t>
        </is>
      </c>
      <c r="L2" s="3" t="inlineStr">
        <is>
          <t>Packaging</t>
        </is>
      </c>
      <c r="M2" s="3" t="inlineStr">
        <is>
          <t>Engineering_Notes</t>
        </is>
      </c>
      <c r="N2" s="3" t="inlineStr">
        <is>
          <t>Submitted_By</t>
        </is>
      </c>
      <c r="O2" s="3" t="inlineStr">
        <is>
          <t>Approved_By</t>
        </is>
      </c>
      <c r="P2" s="3" t="inlineStr">
        <is>
          <t>Create_Date</t>
        </is>
      </c>
      <c r="Q2" s="3" t="inlineStr">
        <is>
          <t>Created_By</t>
        </is>
      </c>
    </row>
    <row r="3">
      <c r="A3" s="4" t="inlineStr">
        <is>
          <t>ENG-000125</t>
        </is>
      </c>
      <c r="B3" s="4" t="inlineStr">
        <is>
          <t>PRJ-2026-00125</t>
        </is>
      </c>
      <c r="C3" s="4" t="inlineStr">
        <is>
          <t>PRD-000125</t>
        </is>
      </c>
      <c r="D3" s="4" t="inlineStr">
        <is>
          <t>PRV-000125-R03</t>
        </is>
      </c>
      <c r="E3" s="4" t="inlineStr">
        <is>
          <t>DRW-250-A</t>
        </is>
      </c>
      <c r="F3" s="4" t="inlineStr">
        <is>
          <t>Rev C</t>
        </is>
      </c>
      <c r="G3" s="4" t="inlineStr">
        <is>
          <t>BOM-000215-R05</t>
        </is>
      </c>
      <c r="H3" s="4" t="inlineStr">
        <is>
          <t>Approved</t>
        </is>
      </c>
      <c r="I3" s="4" t="inlineStr">
        <is>
          <t>Machining + Assembly</t>
        </is>
      </c>
      <c r="J3" s="4" t="inlineStr">
        <is>
          <t>CNC-5Axis</t>
        </is>
      </c>
      <c r="K3" s="4" t="inlineStr">
        <is>
          <t>Fixture-250</t>
        </is>
      </c>
      <c r="L3" s="4" t="inlineStr">
        <is>
          <t>ISPM-15</t>
        </is>
      </c>
      <c r="M3" s="4" t="inlineStr">
        <is>
          <t>مطابق نقشه DRW</t>
        </is>
      </c>
      <c r="N3" s="4" t="inlineStr">
        <is>
          <t>USR-04</t>
        </is>
      </c>
      <c r="O3" s="4" t="inlineStr">
        <is>
          <t>USR-04</t>
        </is>
      </c>
      <c r="P3" s="10" t="n">
        <v>46290</v>
      </c>
      <c r="Q3" s="10" t="inlineStr">
        <is>
          <t>USR-04</t>
        </is>
      </c>
    </row>
    <row r="4">
      <c r="A4" s="6" t="inlineStr">
        <is>
          <t>ENG-000126</t>
        </is>
      </c>
      <c r="B4" s="6" t="inlineStr">
        <is>
          <t>PRJ-2026-00125</t>
        </is>
      </c>
      <c r="C4" s="6" t="inlineStr">
        <is>
          <t>PRD-000126</t>
        </is>
      </c>
      <c r="D4" s="6" t="inlineStr">
        <is>
          <t>PRV-000126-R02</t>
        </is>
      </c>
      <c r="E4" s="6" t="inlineStr">
        <is>
          <t>DRW-150-B</t>
        </is>
      </c>
      <c r="F4" s="6" t="inlineStr">
        <is>
          <t>Rev B</t>
        </is>
      </c>
      <c r="G4" s="6" t="inlineStr">
        <is>
          <t>BOM-000216-R02</t>
        </is>
      </c>
      <c r="H4" s="6" t="inlineStr">
        <is>
          <t>Approved</t>
        </is>
      </c>
      <c r="I4" s="6" t="inlineStr">
        <is>
          <t>Machining + Assembly</t>
        </is>
      </c>
      <c r="J4" s="6" t="inlineStr">
        <is>
          <t>CNC-5Axis</t>
        </is>
      </c>
      <c r="K4" s="6" t="inlineStr">
        <is>
          <t>Fixture-250</t>
        </is>
      </c>
      <c r="L4" s="6" t="inlineStr">
        <is>
          <t>ISPM-15</t>
        </is>
      </c>
      <c r="M4" s="6" t="inlineStr">
        <is>
          <t>مطابق نقشه DRW</t>
        </is>
      </c>
      <c r="N4" s="6" t="inlineStr">
        <is>
          <t>USR-04</t>
        </is>
      </c>
      <c r="O4" s="6" t="inlineStr">
        <is>
          <t>USR-04</t>
        </is>
      </c>
      <c r="P4" s="11" t="n">
        <v>46290</v>
      </c>
      <c r="Q4" s="11" t="inlineStr">
        <is>
          <t>USR-04</t>
        </is>
      </c>
    </row>
  </sheetData>
  <dataValidations count="1">
    <dataValidation sqref="H3:H4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  <col width="14" customWidth="1" min="4" max="4"/>
    <col width="11" customWidth="1" min="5" max="5"/>
    <col width="16" customWidth="1" min="6" max="6"/>
    <col width="13" customWidth="1" min="7" max="7"/>
    <col width="14" customWidth="1" min="8" max="8"/>
    <col width="12" customWidth="1" min="9" max="9"/>
    <col width="12" customWidth="1" min="10" max="10"/>
    <col width="14" customWidth="1" min="11" max="11"/>
    <col width="13" customWidth="1" min="12" max="12"/>
  </cols>
  <sheetData>
    <row r="1">
      <c r="A1" s="1" t="inlineStr">
        <is>
          <t>BOM_Header</t>
        </is>
      </c>
      <c r="B1" s="2" t="inlineStr">
        <is>
          <t>نسخه‌بندی BOM؛ نسخه قبلی هرگز Overwrite نمی‌شود (Is_Active=0 / Status=Superseded).</t>
        </is>
      </c>
    </row>
    <row r="2">
      <c r="A2" s="3" t="inlineStr">
        <is>
          <t>System_ID</t>
        </is>
      </c>
      <c r="B2" s="3" t="inlineStr">
        <is>
          <t>BOM_ID</t>
        </is>
      </c>
      <c r="C2" s="3" t="inlineStr">
        <is>
          <t>Product_Revision_ID</t>
        </is>
      </c>
      <c r="D2" s="3" t="inlineStr">
        <is>
          <t>Revision_No</t>
        </is>
      </c>
      <c r="E2" s="3" t="inlineStr">
        <is>
          <t>Rev_Date</t>
        </is>
      </c>
      <c r="F2" s="3" t="inlineStr">
        <is>
          <t>Change_Reason</t>
        </is>
      </c>
      <c r="G2" s="3" t="inlineStr">
        <is>
          <t>Changed_By</t>
        </is>
      </c>
      <c r="H2" s="3" t="inlineStr">
        <is>
          <t>Approved_By</t>
        </is>
      </c>
      <c r="I2" s="3" t="inlineStr">
        <is>
          <t>Status_ID</t>
        </is>
      </c>
      <c r="J2" s="3" t="inlineStr">
        <is>
          <t>Is_Active</t>
        </is>
      </c>
      <c r="K2" s="3" t="inlineStr">
        <is>
          <t>Create_Date</t>
        </is>
      </c>
      <c r="L2" s="3" t="inlineStr">
        <is>
          <t>Created_By</t>
        </is>
      </c>
    </row>
    <row r="3">
      <c r="A3" s="4" t="inlineStr">
        <is>
          <t>BOM-000215-R05</t>
        </is>
      </c>
      <c r="B3" s="4" t="inlineStr">
        <is>
          <t>BOM-000215</t>
        </is>
      </c>
      <c r="C3" s="4" t="inlineStr">
        <is>
          <t>PRV-000125-R03</t>
        </is>
      </c>
      <c r="D3" s="4" t="inlineStr">
        <is>
          <t>R05</t>
        </is>
      </c>
      <c r="E3" s="10" t="n">
        <v>46293</v>
      </c>
      <c r="F3" s="4" t="inlineStr">
        <is>
          <t>تغییر تأمین‌کننده مکانیکال سیل و افزودن شفت</t>
        </is>
      </c>
      <c r="G3" s="4" t="inlineStr">
        <is>
          <t>USR-04</t>
        </is>
      </c>
      <c r="H3" s="4" t="inlineStr">
        <is>
          <t>USR-04</t>
        </is>
      </c>
      <c r="I3" s="4" t="inlineStr">
        <is>
          <t>Approved</t>
        </is>
      </c>
      <c r="J3" s="4" t="n">
        <v>1</v>
      </c>
      <c r="K3" s="10" t="n">
        <v>46293</v>
      </c>
      <c r="L3" s="10" t="inlineStr">
        <is>
          <t>USR-04</t>
        </is>
      </c>
    </row>
    <row r="4">
      <c r="A4" s="6" t="inlineStr">
        <is>
          <t>BOM-000215-R04</t>
        </is>
      </c>
      <c r="B4" s="6" t="inlineStr">
        <is>
          <t>BOM-000215</t>
        </is>
      </c>
      <c r="C4" s="6" t="inlineStr">
        <is>
          <t>PRV-000125-R03</t>
        </is>
      </c>
      <c r="D4" s="6" t="inlineStr">
        <is>
          <t>R04</t>
        </is>
      </c>
      <c r="E4" s="11" t="n">
        <v>46235</v>
      </c>
      <c r="F4" s="6" t="inlineStr">
        <is>
          <t>نسخه قبلی (نگهداری برای Audit — بدون Overwrite)</t>
        </is>
      </c>
      <c r="G4" s="6" t="inlineStr">
        <is>
          <t>USR-04</t>
        </is>
      </c>
      <c r="H4" s="6" t="inlineStr">
        <is>
          <t>USR-04</t>
        </is>
      </c>
      <c r="I4" s="6" t="inlineStr">
        <is>
          <t>Superseded</t>
        </is>
      </c>
      <c r="J4" s="6" t="n">
        <v>0</v>
      </c>
      <c r="K4" s="11" t="n">
        <v>46235</v>
      </c>
      <c r="L4" s="11" t="inlineStr">
        <is>
          <t>USR-04</t>
        </is>
      </c>
    </row>
    <row r="5">
      <c r="A5" s="4" t="inlineStr">
        <is>
          <t>BOM-000216-R02</t>
        </is>
      </c>
      <c r="B5" s="4" t="inlineStr">
        <is>
          <t>BOM-000216</t>
        </is>
      </c>
      <c r="C5" s="4" t="inlineStr">
        <is>
          <t>PRV-000126-R02</t>
        </is>
      </c>
      <c r="D5" s="4" t="inlineStr">
        <is>
          <t>R02</t>
        </is>
      </c>
      <c r="E5" s="10" t="n">
        <v>46178</v>
      </c>
      <c r="F5" s="4" t="inlineStr">
        <is>
          <t>نسخه اولیه</t>
        </is>
      </c>
      <c r="G5" s="4" t="inlineStr">
        <is>
          <t>USR-04</t>
        </is>
      </c>
      <c r="H5" s="4" t="inlineStr">
        <is>
          <t>USR-04</t>
        </is>
      </c>
      <c r="I5" s="4" t="inlineStr">
        <is>
          <t>Approved</t>
        </is>
      </c>
      <c r="J5" s="4" t="n">
        <v>1</v>
      </c>
      <c r="K5" s="10" t="n">
        <v>46178</v>
      </c>
      <c r="L5" s="10" t="inlineStr">
        <is>
          <t>USR-04</t>
        </is>
      </c>
    </row>
  </sheetData>
  <dataValidations count="1">
    <dataValidation sqref="I3:I5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1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21" customWidth="1" min="13" max="13"/>
    <col width="14" customWidth="1" min="14" max="14"/>
    <col width="13" customWidth="1" min="15" max="15"/>
  </cols>
  <sheetData>
    <row r="1">
      <c r="A1" s="1" t="inlineStr">
        <is>
          <t>BOM_Detail</t>
        </is>
      </c>
      <c r="B1" s="2" t="inlineStr">
        <is>
          <t>BOM چندسطحی (Parent_BOM_Line_ID / Level_No / Sequence_No). Gross_Qty = Qty_Per × (1 + Scrap%).</t>
        </is>
      </c>
    </row>
    <row r="2">
      <c r="A2" s="3" t="inlineStr">
        <is>
          <t>System_ID</t>
        </is>
      </c>
      <c r="B2" s="3" t="inlineStr">
        <is>
          <t>BOM_Revision_ID</t>
        </is>
      </c>
      <c r="C2" s="3" t="inlineStr">
        <is>
          <t>Parent_BOM_Line_ID</t>
        </is>
      </c>
      <c r="D2" s="3" t="inlineStr">
        <is>
          <t>Level_No</t>
        </is>
      </c>
      <c r="E2" s="3" t="inlineStr">
        <is>
          <t>Sequence_No</t>
        </is>
      </c>
      <c r="F2" s="3" t="inlineStr">
        <is>
          <t>Material_ID</t>
        </is>
      </c>
      <c r="G2" s="3" t="inlineStr">
        <is>
          <t>Qty_Per</t>
        </is>
      </c>
      <c r="H2" s="3" t="inlineStr">
        <is>
          <t>UoM</t>
        </is>
      </c>
      <c r="I2" s="3" t="inlineStr">
        <is>
          <t>Scrap_%</t>
        </is>
      </c>
      <c r="J2" s="3" t="inlineStr">
        <is>
          <t>Net_Qty</t>
        </is>
      </c>
      <c r="K2" s="3" t="inlineStr">
        <is>
          <t>Gross_Qty</t>
        </is>
      </c>
      <c r="L2" s="3" t="inlineStr">
        <is>
          <t>Make_Buy</t>
        </is>
      </c>
      <c r="M2" s="3" t="inlineStr">
        <is>
          <t>Approved_Supplier</t>
        </is>
      </c>
      <c r="N2" s="3" t="inlineStr">
        <is>
          <t>Create_Date</t>
        </is>
      </c>
      <c r="O2" s="3" t="inlineStr">
        <is>
          <t>Created_By</t>
        </is>
      </c>
    </row>
    <row r="3">
      <c r="A3" s="4" t="inlineStr">
        <is>
          <t>BLI-000987</t>
        </is>
      </c>
      <c r="B3" s="4" t="inlineStr">
        <is>
          <t>BOM-000215-R05</t>
        </is>
      </c>
      <c r="C3" s="4" t="inlineStr"/>
      <c r="D3" s="8" t="n">
        <v>0</v>
      </c>
      <c r="E3" s="8" t="n">
        <v>10</v>
      </c>
      <c r="F3" s="4" t="inlineStr">
        <is>
          <t>PRD-000125</t>
        </is>
      </c>
      <c r="G3" s="8" t="n">
        <v>1</v>
      </c>
      <c r="H3" s="4" t="inlineStr">
        <is>
          <t>pcs</t>
        </is>
      </c>
      <c r="I3" s="16" t="n">
        <v>0</v>
      </c>
      <c r="J3" s="8">
        <f>$G3</f>
        <v/>
      </c>
      <c r="K3" s="8">
        <f>ROUND($G3*(1+$I3),3)</f>
        <v/>
      </c>
      <c r="L3" s="4" t="inlineStr">
        <is>
          <t>Make</t>
        </is>
      </c>
      <c r="M3" s="4" t="inlineStr"/>
      <c r="N3" s="10" t="n">
        <v>46293</v>
      </c>
      <c r="O3" s="10" t="inlineStr">
        <is>
          <t>USR-04</t>
        </is>
      </c>
    </row>
    <row r="4">
      <c r="A4" s="6" t="inlineStr">
        <is>
          <t>BLI-000988</t>
        </is>
      </c>
      <c r="B4" s="6" t="inlineStr">
        <is>
          <t>BOM-000215-R05</t>
        </is>
      </c>
      <c r="C4" s="6" t="inlineStr">
        <is>
          <t>BLI-000987</t>
        </is>
      </c>
      <c r="D4" s="9" t="n">
        <v>1</v>
      </c>
      <c r="E4" s="9" t="n">
        <v>20</v>
      </c>
      <c r="F4" s="6" t="inlineStr">
        <is>
          <t>MAT-001542</t>
        </is>
      </c>
      <c r="G4" s="9" t="n">
        <v>180</v>
      </c>
      <c r="H4" s="6" t="inlineStr">
        <is>
          <t>kg</t>
        </is>
      </c>
      <c r="I4" s="17" t="n">
        <v>0.05</v>
      </c>
      <c r="J4" s="9">
        <f>$G4</f>
        <v/>
      </c>
      <c r="K4" s="9">
        <f>ROUND($G4*(1+$I4),3)</f>
        <v/>
      </c>
      <c r="L4" s="6" t="inlineStr">
        <is>
          <t>Make</t>
        </is>
      </c>
      <c r="M4" s="6" t="inlineStr"/>
      <c r="N4" s="11" t="n">
        <v>46293</v>
      </c>
      <c r="O4" s="11" t="inlineStr">
        <is>
          <t>USR-04</t>
        </is>
      </c>
    </row>
    <row r="5">
      <c r="A5" s="4" t="inlineStr">
        <is>
          <t>BLI-000989</t>
        </is>
      </c>
      <c r="B5" s="4" t="inlineStr">
        <is>
          <t>BOM-000215-R05</t>
        </is>
      </c>
      <c r="C5" s="4" t="inlineStr">
        <is>
          <t>BLI-000987</t>
        </is>
      </c>
      <c r="D5" s="8" t="n">
        <v>1</v>
      </c>
      <c r="E5" s="8" t="n">
        <v>30</v>
      </c>
      <c r="F5" s="4" t="inlineStr">
        <is>
          <t>MAT-001543</t>
        </is>
      </c>
      <c r="G5" s="8" t="n">
        <v>55</v>
      </c>
      <c r="H5" s="4" t="inlineStr">
        <is>
          <t>kg</t>
        </is>
      </c>
      <c r="I5" s="16" t="n">
        <v>0.05</v>
      </c>
      <c r="J5" s="8">
        <f>$G5</f>
        <v/>
      </c>
      <c r="K5" s="8">
        <f>ROUND($G5*(1+$I5),3)</f>
        <v/>
      </c>
      <c r="L5" s="4" t="inlineStr">
        <is>
          <t>Make</t>
        </is>
      </c>
      <c r="M5" s="4" t="inlineStr"/>
      <c r="N5" s="10" t="n">
        <v>46293</v>
      </c>
      <c r="O5" s="10" t="inlineStr">
        <is>
          <t>USR-04</t>
        </is>
      </c>
    </row>
    <row r="6">
      <c r="A6" s="6" t="inlineStr">
        <is>
          <t>BLI-000990</t>
        </is>
      </c>
      <c r="B6" s="6" t="inlineStr">
        <is>
          <t>BOM-000215-R05</t>
        </is>
      </c>
      <c r="C6" s="6" t="inlineStr">
        <is>
          <t>BLI-000987</t>
        </is>
      </c>
      <c r="D6" s="9" t="n">
        <v>1</v>
      </c>
      <c r="E6" s="9" t="n">
        <v>40</v>
      </c>
      <c r="F6" s="6" t="inlineStr">
        <is>
          <t>MAT-001547</t>
        </is>
      </c>
      <c r="G6" s="9" t="n">
        <v>22</v>
      </c>
      <c r="H6" s="6" t="inlineStr">
        <is>
          <t>kg</t>
        </is>
      </c>
      <c r="I6" s="17" t="n">
        <v>0.05</v>
      </c>
      <c r="J6" s="9">
        <f>$G6</f>
        <v/>
      </c>
      <c r="K6" s="9">
        <f>ROUND($G6*(1+$I6),3)</f>
        <v/>
      </c>
      <c r="L6" s="6" t="inlineStr">
        <is>
          <t>Make</t>
        </is>
      </c>
      <c r="M6" s="6" t="inlineStr"/>
      <c r="N6" s="11" t="n">
        <v>46293</v>
      </c>
      <c r="O6" s="11" t="inlineStr">
        <is>
          <t>USR-04</t>
        </is>
      </c>
    </row>
    <row r="7">
      <c r="A7" s="4" t="inlineStr">
        <is>
          <t>BLI-000991</t>
        </is>
      </c>
      <c r="B7" s="4" t="inlineStr">
        <is>
          <t>BOM-000215-R05</t>
        </is>
      </c>
      <c r="C7" s="4" t="inlineStr">
        <is>
          <t>BLI-000987</t>
        </is>
      </c>
      <c r="D7" s="8" t="n">
        <v>1</v>
      </c>
      <c r="E7" s="8" t="n">
        <v>50</v>
      </c>
      <c r="F7" s="4" t="inlineStr">
        <is>
          <t>MAT-001544</t>
        </is>
      </c>
      <c r="G7" s="8" t="n">
        <v>1</v>
      </c>
      <c r="H7" s="4" t="inlineStr">
        <is>
          <t>pcs</t>
        </is>
      </c>
      <c r="I7" s="16" t="n">
        <v>0</v>
      </c>
      <c r="J7" s="8">
        <f>$G7</f>
        <v/>
      </c>
      <c r="K7" s="8">
        <f>ROUND($G7*(1+$I7),3)</f>
        <v/>
      </c>
      <c r="L7" s="4" t="inlineStr">
        <is>
          <t>Buy</t>
        </is>
      </c>
      <c r="M7" s="4" t="inlineStr">
        <is>
          <t>SUP-000089</t>
        </is>
      </c>
      <c r="N7" s="10" t="n">
        <v>46293</v>
      </c>
      <c r="O7" s="10" t="inlineStr">
        <is>
          <t>USR-04</t>
        </is>
      </c>
    </row>
    <row r="8">
      <c r="A8" s="6" t="inlineStr">
        <is>
          <t>BLI-000992</t>
        </is>
      </c>
      <c r="B8" s="6" t="inlineStr">
        <is>
          <t>BOM-000215-R05</t>
        </is>
      </c>
      <c r="C8" s="6" t="inlineStr">
        <is>
          <t>BLI-000987</t>
        </is>
      </c>
      <c r="D8" s="9" t="n">
        <v>1</v>
      </c>
      <c r="E8" s="9" t="n">
        <v>60</v>
      </c>
      <c r="F8" s="6" t="inlineStr">
        <is>
          <t>MAT-001545</t>
        </is>
      </c>
      <c r="G8" s="9" t="n">
        <v>1</v>
      </c>
      <c r="H8" s="6" t="inlineStr">
        <is>
          <t>pcs</t>
        </is>
      </c>
      <c r="I8" s="17" t="n">
        <v>0</v>
      </c>
      <c r="J8" s="9">
        <f>$G8</f>
        <v/>
      </c>
      <c r="K8" s="9">
        <f>ROUND($G8*(1+$I8),3)</f>
        <v/>
      </c>
      <c r="L8" s="6" t="inlineStr">
        <is>
          <t>Buy</t>
        </is>
      </c>
      <c r="M8" s="6" t="inlineStr">
        <is>
          <t>SUP-000088</t>
        </is>
      </c>
      <c r="N8" s="11" t="n">
        <v>46293</v>
      </c>
      <c r="O8" s="11" t="inlineStr">
        <is>
          <t>USR-04</t>
        </is>
      </c>
    </row>
    <row r="9">
      <c r="A9" s="4" t="inlineStr">
        <is>
          <t>BLI-000993</t>
        </is>
      </c>
      <c r="B9" s="4" t="inlineStr">
        <is>
          <t>BOM-000215-R05</t>
        </is>
      </c>
      <c r="C9" s="4" t="inlineStr">
        <is>
          <t>BLI-000987</t>
        </is>
      </c>
      <c r="D9" s="8" t="n">
        <v>1</v>
      </c>
      <c r="E9" s="8" t="n">
        <v>70</v>
      </c>
      <c r="F9" s="4" t="inlineStr">
        <is>
          <t>MAT-001546</t>
        </is>
      </c>
      <c r="G9" s="8" t="n">
        <v>1</v>
      </c>
      <c r="H9" s="4" t="inlineStr">
        <is>
          <t>pcs</t>
        </is>
      </c>
      <c r="I9" s="16" t="n">
        <v>0</v>
      </c>
      <c r="J9" s="8">
        <f>$G9</f>
        <v/>
      </c>
      <c r="K9" s="8">
        <f>ROUND($G9*(1+$I9),3)</f>
        <v/>
      </c>
      <c r="L9" s="4" t="inlineStr">
        <is>
          <t>Buy</t>
        </is>
      </c>
      <c r="M9" s="4" t="inlineStr">
        <is>
          <t>SUP-000087</t>
        </is>
      </c>
      <c r="N9" s="10" t="n">
        <v>46293</v>
      </c>
      <c r="O9" s="10" t="inlineStr">
        <is>
          <t>USR-04</t>
        </is>
      </c>
    </row>
    <row r="10">
      <c r="A10" s="6" t="inlineStr">
        <is>
          <t>BLI-000994</t>
        </is>
      </c>
      <c r="B10" s="6" t="inlineStr">
        <is>
          <t>BOM-000215-R05</t>
        </is>
      </c>
      <c r="C10" s="6" t="inlineStr">
        <is>
          <t>BLI-000987</t>
        </is>
      </c>
      <c r="D10" s="9" t="n">
        <v>1</v>
      </c>
      <c r="E10" s="9" t="n">
        <v>80</v>
      </c>
      <c r="F10" s="6" t="inlineStr">
        <is>
          <t>MAT-001548</t>
        </is>
      </c>
      <c r="G10" s="9" t="n">
        <v>1</v>
      </c>
      <c r="H10" s="6" t="inlineStr">
        <is>
          <t>pcs</t>
        </is>
      </c>
      <c r="I10" s="17" t="n">
        <v>0</v>
      </c>
      <c r="J10" s="9">
        <f>$G10</f>
        <v/>
      </c>
      <c r="K10" s="9">
        <f>ROUND($G10*(1+$I10),3)</f>
        <v/>
      </c>
      <c r="L10" s="6" t="inlineStr">
        <is>
          <t>Buy</t>
        </is>
      </c>
      <c r="M10" s="6" t="inlineStr">
        <is>
          <t>SUP-000086</t>
        </is>
      </c>
      <c r="N10" s="11" t="n">
        <v>46293</v>
      </c>
      <c r="O10" s="11" t="inlineStr">
        <is>
          <t>USR-04</t>
        </is>
      </c>
    </row>
    <row r="11">
      <c r="A11" s="4" t="inlineStr">
        <is>
          <t>BLI-000950</t>
        </is>
      </c>
      <c r="B11" s="4" t="inlineStr">
        <is>
          <t>BOM-000215-R04</t>
        </is>
      </c>
      <c r="C11" s="4" t="inlineStr"/>
      <c r="D11" s="8" t="n">
        <v>0</v>
      </c>
      <c r="E11" s="8" t="n">
        <v>10</v>
      </c>
      <c r="F11" s="4" t="inlineStr">
        <is>
          <t>PRD-000125</t>
        </is>
      </c>
      <c r="G11" s="8" t="n">
        <v>1</v>
      </c>
      <c r="H11" s="4" t="inlineStr">
        <is>
          <t>pcs</t>
        </is>
      </c>
      <c r="I11" s="16" t="n">
        <v>0</v>
      </c>
      <c r="J11" s="8">
        <f>$G11</f>
        <v/>
      </c>
      <c r="K11" s="8">
        <f>ROUND($G11*(1+$I11),3)</f>
        <v/>
      </c>
      <c r="L11" s="4" t="inlineStr">
        <is>
          <t>Make</t>
        </is>
      </c>
      <c r="M11" s="4" t="inlineStr"/>
      <c r="N11" s="10" t="n">
        <v>46293</v>
      </c>
      <c r="O11" s="10" t="inlineStr">
        <is>
          <t>USR-04</t>
        </is>
      </c>
    </row>
    <row r="12">
      <c r="A12" s="6" t="inlineStr">
        <is>
          <t>BLI-000951</t>
        </is>
      </c>
      <c r="B12" s="6" t="inlineStr">
        <is>
          <t>BOM-000215-R04</t>
        </is>
      </c>
      <c r="C12" s="6" t="inlineStr">
        <is>
          <t>BLI-000950</t>
        </is>
      </c>
      <c r="D12" s="9" t="n">
        <v>1</v>
      </c>
      <c r="E12" s="9" t="n">
        <v>20</v>
      </c>
      <c r="F12" s="6" t="inlineStr">
        <is>
          <t>MAT-001542</t>
        </is>
      </c>
      <c r="G12" s="9" t="n">
        <v>180</v>
      </c>
      <c r="H12" s="6" t="inlineStr">
        <is>
          <t>kg</t>
        </is>
      </c>
      <c r="I12" s="17" t="n">
        <v>0.05</v>
      </c>
      <c r="J12" s="9">
        <f>$G12</f>
        <v/>
      </c>
      <c r="K12" s="9">
        <f>ROUND($G12*(1+$I12),3)</f>
        <v/>
      </c>
      <c r="L12" s="6" t="inlineStr">
        <is>
          <t>Make</t>
        </is>
      </c>
      <c r="M12" s="6" t="inlineStr"/>
      <c r="N12" s="11" t="n">
        <v>46293</v>
      </c>
      <c r="O12" s="11" t="inlineStr">
        <is>
          <t>USR-04</t>
        </is>
      </c>
    </row>
    <row r="13">
      <c r="A13" s="4" t="inlineStr">
        <is>
          <t>BLI-000952</t>
        </is>
      </c>
      <c r="B13" s="4" t="inlineStr">
        <is>
          <t>BOM-000215-R04</t>
        </is>
      </c>
      <c r="C13" s="4" t="inlineStr">
        <is>
          <t>BLI-000950</t>
        </is>
      </c>
      <c r="D13" s="8" t="n">
        <v>1</v>
      </c>
      <c r="E13" s="8" t="n">
        <v>30</v>
      </c>
      <c r="F13" s="4" t="inlineStr">
        <is>
          <t>MAT-001543</t>
        </is>
      </c>
      <c r="G13" s="8" t="n">
        <v>55</v>
      </c>
      <c r="H13" s="4" t="inlineStr">
        <is>
          <t>kg</t>
        </is>
      </c>
      <c r="I13" s="16" t="n">
        <v>0.05</v>
      </c>
      <c r="J13" s="8">
        <f>$G13</f>
        <v/>
      </c>
      <c r="K13" s="8">
        <f>ROUND($G13*(1+$I13),3)</f>
        <v/>
      </c>
      <c r="L13" s="4" t="inlineStr">
        <is>
          <t>Make</t>
        </is>
      </c>
      <c r="M13" s="4" t="inlineStr"/>
      <c r="N13" s="10" t="n">
        <v>46293</v>
      </c>
      <c r="O13" s="10" t="inlineStr">
        <is>
          <t>USR-04</t>
        </is>
      </c>
    </row>
    <row r="14">
      <c r="A14" s="6" t="inlineStr">
        <is>
          <t>BLI-000953</t>
        </is>
      </c>
      <c r="B14" s="6" t="inlineStr">
        <is>
          <t>BOM-000215-R04</t>
        </is>
      </c>
      <c r="C14" s="6" t="inlineStr">
        <is>
          <t>BLI-000950</t>
        </is>
      </c>
      <c r="D14" s="9" t="n">
        <v>1</v>
      </c>
      <c r="E14" s="9" t="n">
        <v>40</v>
      </c>
      <c r="F14" s="6" t="inlineStr">
        <is>
          <t>MAT-001547</t>
        </is>
      </c>
      <c r="G14" s="9" t="n">
        <v>22</v>
      </c>
      <c r="H14" s="6" t="inlineStr">
        <is>
          <t>kg</t>
        </is>
      </c>
      <c r="I14" s="17" t="n">
        <v>0.05</v>
      </c>
      <c r="J14" s="9">
        <f>$G14</f>
        <v/>
      </c>
      <c r="K14" s="9">
        <f>ROUND($G14*(1+$I14),3)</f>
        <v/>
      </c>
      <c r="L14" s="6" t="inlineStr">
        <is>
          <t>Make</t>
        </is>
      </c>
      <c r="M14" s="6" t="inlineStr"/>
      <c r="N14" s="11" t="n">
        <v>46293</v>
      </c>
      <c r="O14" s="11" t="inlineStr">
        <is>
          <t>USR-04</t>
        </is>
      </c>
    </row>
    <row r="15">
      <c r="A15" s="4" t="inlineStr">
        <is>
          <t>BLI-000954</t>
        </is>
      </c>
      <c r="B15" s="4" t="inlineStr">
        <is>
          <t>BOM-000215-R04</t>
        </is>
      </c>
      <c r="C15" s="4" t="inlineStr">
        <is>
          <t>BLI-000950</t>
        </is>
      </c>
      <c r="D15" s="8" t="n">
        <v>1</v>
      </c>
      <c r="E15" s="8" t="n">
        <v>50</v>
      </c>
      <c r="F15" s="4" t="inlineStr">
        <is>
          <t>MAT-001544</t>
        </is>
      </c>
      <c r="G15" s="8" t="n">
        <v>1</v>
      </c>
      <c r="H15" s="4" t="inlineStr">
        <is>
          <t>pcs</t>
        </is>
      </c>
      <c r="I15" s="16" t="n">
        <v>0</v>
      </c>
      <c r="J15" s="8">
        <f>$G15</f>
        <v/>
      </c>
      <c r="K15" s="8">
        <f>ROUND($G15*(1+$I15),3)</f>
        <v/>
      </c>
      <c r="L15" s="4" t="inlineStr">
        <is>
          <t>Buy</t>
        </is>
      </c>
      <c r="M15" s="4" t="inlineStr">
        <is>
          <t>SUP-000089</t>
        </is>
      </c>
      <c r="N15" s="10" t="n">
        <v>46293</v>
      </c>
      <c r="O15" s="10" t="inlineStr">
        <is>
          <t>USR-04</t>
        </is>
      </c>
    </row>
    <row r="16">
      <c r="A16" s="6" t="inlineStr">
        <is>
          <t>BLI-000955</t>
        </is>
      </c>
      <c r="B16" s="6" t="inlineStr">
        <is>
          <t>BOM-000215-R04</t>
        </is>
      </c>
      <c r="C16" s="6" t="inlineStr">
        <is>
          <t>BLI-000950</t>
        </is>
      </c>
      <c r="D16" s="9" t="n">
        <v>1</v>
      </c>
      <c r="E16" s="9" t="n">
        <v>60</v>
      </c>
      <c r="F16" s="6" t="inlineStr">
        <is>
          <t>MAT-001545</t>
        </is>
      </c>
      <c r="G16" s="9" t="n">
        <v>1</v>
      </c>
      <c r="H16" s="6" t="inlineStr">
        <is>
          <t>pcs</t>
        </is>
      </c>
      <c r="I16" s="17" t="n">
        <v>0</v>
      </c>
      <c r="J16" s="9">
        <f>$G16</f>
        <v/>
      </c>
      <c r="K16" s="9">
        <f>ROUND($G16*(1+$I16),3)</f>
        <v/>
      </c>
      <c r="L16" s="6" t="inlineStr">
        <is>
          <t>Buy</t>
        </is>
      </c>
      <c r="M16" s="6" t="inlineStr">
        <is>
          <t>SUP-000088</t>
        </is>
      </c>
      <c r="N16" s="11" t="n">
        <v>46293</v>
      </c>
      <c r="O16" s="11" t="inlineStr">
        <is>
          <t>USR-04</t>
        </is>
      </c>
    </row>
    <row r="17">
      <c r="A17" s="4" t="inlineStr">
        <is>
          <t>BLI-000956</t>
        </is>
      </c>
      <c r="B17" s="4" t="inlineStr">
        <is>
          <t>BOM-000215-R04</t>
        </is>
      </c>
      <c r="C17" s="4" t="inlineStr">
        <is>
          <t>BLI-000950</t>
        </is>
      </c>
      <c r="D17" s="8" t="n">
        <v>1</v>
      </c>
      <c r="E17" s="8" t="n">
        <v>70</v>
      </c>
      <c r="F17" s="4" t="inlineStr">
        <is>
          <t>MAT-001546</t>
        </is>
      </c>
      <c r="G17" s="8" t="n">
        <v>1</v>
      </c>
      <c r="H17" s="4" t="inlineStr">
        <is>
          <t>pcs</t>
        </is>
      </c>
      <c r="I17" s="16" t="n">
        <v>0</v>
      </c>
      <c r="J17" s="8">
        <f>$G17</f>
        <v/>
      </c>
      <c r="K17" s="8">
        <f>ROUND($G17*(1+$I17),3)</f>
        <v/>
      </c>
      <c r="L17" s="4" t="inlineStr">
        <is>
          <t>Buy</t>
        </is>
      </c>
      <c r="M17" s="4" t="inlineStr">
        <is>
          <t>SUP-000087</t>
        </is>
      </c>
      <c r="N17" s="10" t="n">
        <v>46293</v>
      </c>
      <c r="O17" s="10" t="inlineStr">
        <is>
          <t>USR-04</t>
        </is>
      </c>
    </row>
    <row r="18">
      <c r="A18" s="6" t="inlineStr">
        <is>
          <t>BLI-000957</t>
        </is>
      </c>
      <c r="B18" s="6" t="inlineStr">
        <is>
          <t>BOM-000215-R04</t>
        </is>
      </c>
      <c r="C18" s="6" t="inlineStr">
        <is>
          <t>BLI-000950</t>
        </is>
      </c>
      <c r="D18" s="9" t="n">
        <v>1</v>
      </c>
      <c r="E18" s="9" t="n">
        <v>80</v>
      </c>
      <c r="F18" s="6" t="inlineStr">
        <is>
          <t>MAT-001548</t>
        </is>
      </c>
      <c r="G18" s="9" t="n">
        <v>1</v>
      </c>
      <c r="H18" s="6" t="inlineStr">
        <is>
          <t>pcs</t>
        </is>
      </c>
      <c r="I18" s="17" t="n">
        <v>0</v>
      </c>
      <c r="J18" s="9">
        <f>$G18</f>
        <v/>
      </c>
      <c r="K18" s="9">
        <f>ROUND($G18*(1+$I18),3)</f>
        <v/>
      </c>
      <c r="L18" s="6" t="inlineStr">
        <is>
          <t>Buy</t>
        </is>
      </c>
      <c r="M18" s="6" t="inlineStr">
        <is>
          <t>SUP-000086</t>
        </is>
      </c>
      <c r="N18" s="11" t="n">
        <v>46293</v>
      </c>
      <c r="O18" s="11" t="inlineStr">
        <is>
          <t>USR-04</t>
        </is>
      </c>
    </row>
    <row r="19">
      <c r="A19" s="4" t="inlineStr">
        <is>
          <t>BLI-000900</t>
        </is>
      </c>
      <c r="B19" s="4" t="inlineStr">
        <is>
          <t>BOM-000216-R02</t>
        </is>
      </c>
      <c r="C19" s="4" t="inlineStr"/>
      <c r="D19" s="8" t="n">
        <v>0</v>
      </c>
      <c r="E19" s="8" t="n">
        <v>10</v>
      </c>
      <c r="F19" s="4" t="inlineStr">
        <is>
          <t>PRD-000126</t>
        </is>
      </c>
      <c r="G19" s="8" t="n">
        <v>1</v>
      </c>
      <c r="H19" s="4" t="inlineStr">
        <is>
          <t>pcs</t>
        </is>
      </c>
      <c r="I19" s="16" t="n">
        <v>0</v>
      </c>
      <c r="J19" s="8">
        <f>$G19</f>
        <v/>
      </c>
      <c r="K19" s="8">
        <f>ROUND($G19*(1+$I19),3)</f>
        <v/>
      </c>
      <c r="L19" s="4" t="inlineStr">
        <is>
          <t>Make</t>
        </is>
      </c>
      <c r="M19" s="4" t="inlineStr"/>
      <c r="N19" s="10" t="n">
        <v>46293</v>
      </c>
      <c r="O19" s="10" t="inlineStr">
        <is>
          <t>USR-04</t>
        </is>
      </c>
    </row>
    <row r="20">
      <c r="A20" s="6" t="inlineStr">
        <is>
          <t>BLI-000901</t>
        </is>
      </c>
      <c r="B20" s="6" t="inlineStr">
        <is>
          <t>BOM-000216-R02</t>
        </is>
      </c>
      <c r="C20" s="6" t="inlineStr">
        <is>
          <t>BLI-000900</t>
        </is>
      </c>
      <c r="D20" s="9" t="n">
        <v>1</v>
      </c>
      <c r="E20" s="9" t="n">
        <v>20</v>
      </c>
      <c r="F20" s="6" t="inlineStr">
        <is>
          <t>MAT-001542</t>
        </is>
      </c>
      <c r="G20" s="9" t="n">
        <v>95</v>
      </c>
      <c r="H20" s="6" t="inlineStr">
        <is>
          <t>kg</t>
        </is>
      </c>
      <c r="I20" s="17" t="n">
        <v>0.05</v>
      </c>
      <c r="J20" s="9">
        <f>$G20</f>
        <v/>
      </c>
      <c r="K20" s="9">
        <f>ROUND($G20*(1+$I20),3)</f>
        <v/>
      </c>
      <c r="L20" s="6" t="inlineStr">
        <is>
          <t>Make</t>
        </is>
      </c>
      <c r="M20" s="6" t="inlineStr"/>
      <c r="N20" s="11" t="n">
        <v>46293</v>
      </c>
      <c r="O20" s="11" t="inlineStr">
        <is>
          <t>USR-04</t>
        </is>
      </c>
    </row>
    <row r="21">
      <c r="A21" s="4" t="inlineStr">
        <is>
          <t>BLI-000902</t>
        </is>
      </c>
      <c r="B21" s="4" t="inlineStr">
        <is>
          <t>BOM-000216-R02</t>
        </is>
      </c>
      <c r="C21" s="4" t="inlineStr">
        <is>
          <t>BLI-000900</t>
        </is>
      </c>
      <c r="D21" s="8" t="n">
        <v>1</v>
      </c>
      <c r="E21" s="8" t="n">
        <v>30</v>
      </c>
      <c r="F21" s="4" t="inlineStr">
        <is>
          <t>MAT-001547</t>
        </is>
      </c>
      <c r="G21" s="8" t="n">
        <v>14</v>
      </c>
      <c r="H21" s="4" t="inlineStr">
        <is>
          <t>kg</t>
        </is>
      </c>
      <c r="I21" s="16" t="n">
        <v>0.05</v>
      </c>
      <c r="J21" s="8">
        <f>$G21</f>
        <v/>
      </c>
      <c r="K21" s="8">
        <f>ROUND($G21*(1+$I21),3)</f>
        <v/>
      </c>
      <c r="L21" s="4" t="inlineStr">
        <is>
          <t>Make</t>
        </is>
      </c>
      <c r="M21" s="4" t="inlineStr"/>
      <c r="N21" s="10" t="n">
        <v>46293</v>
      </c>
      <c r="O21" s="10" t="inlineStr">
        <is>
          <t>USR-04</t>
        </is>
      </c>
    </row>
    <row r="22">
      <c r="A22" s="6" t="inlineStr">
        <is>
          <t>BLI-000903</t>
        </is>
      </c>
      <c r="B22" s="6" t="inlineStr">
        <is>
          <t>BOM-000216-R02</t>
        </is>
      </c>
      <c r="C22" s="6" t="inlineStr">
        <is>
          <t>BLI-000900</t>
        </is>
      </c>
      <c r="D22" s="9" t="n">
        <v>1</v>
      </c>
      <c r="E22" s="9" t="n">
        <v>40</v>
      </c>
      <c r="F22" s="6" t="inlineStr">
        <is>
          <t>MAT-001544</t>
        </is>
      </c>
      <c r="G22" s="9" t="n">
        <v>1</v>
      </c>
      <c r="H22" s="6" t="inlineStr">
        <is>
          <t>pcs</t>
        </is>
      </c>
      <c r="I22" s="17" t="n">
        <v>0</v>
      </c>
      <c r="J22" s="9">
        <f>$G22</f>
        <v/>
      </c>
      <c r="K22" s="9">
        <f>ROUND($G22*(1+$I22),3)</f>
        <v/>
      </c>
      <c r="L22" s="6" t="inlineStr">
        <is>
          <t>Buy</t>
        </is>
      </c>
      <c r="M22" s="6" t="inlineStr">
        <is>
          <t>SUP-000089</t>
        </is>
      </c>
      <c r="N22" s="11" t="n">
        <v>46293</v>
      </c>
      <c r="O22" s="11" t="inlineStr">
        <is>
          <t>USR-04</t>
        </is>
      </c>
    </row>
    <row r="23">
      <c r="A23" s="4" t="inlineStr">
        <is>
          <t>BLI-000904</t>
        </is>
      </c>
      <c r="B23" s="4" t="inlineStr">
        <is>
          <t>BOM-000216-R02</t>
        </is>
      </c>
      <c r="C23" s="4" t="inlineStr">
        <is>
          <t>BLI-000900</t>
        </is>
      </c>
      <c r="D23" s="8" t="n">
        <v>1</v>
      </c>
      <c r="E23" s="8" t="n">
        <v>50</v>
      </c>
      <c r="F23" s="4" t="inlineStr">
        <is>
          <t>MAT-001545</t>
        </is>
      </c>
      <c r="G23" s="8" t="n">
        <v>1</v>
      </c>
      <c r="H23" s="4" t="inlineStr">
        <is>
          <t>pcs</t>
        </is>
      </c>
      <c r="I23" s="16" t="n">
        <v>0</v>
      </c>
      <c r="J23" s="8">
        <f>$G23</f>
        <v/>
      </c>
      <c r="K23" s="8">
        <f>ROUND($G23*(1+$I23),3)</f>
        <v/>
      </c>
      <c r="L23" s="4" t="inlineStr">
        <is>
          <t>Buy</t>
        </is>
      </c>
      <c r="M23" s="4" t="inlineStr">
        <is>
          <t>SUP-000088</t>
        </is>
      </c>
      <c r="N23" s="10" t="n">
        <v>46293</v>
      </c>
      <c r="O23" s="10" t="inlineStr">
        <is>
          <t>USR-04</t>
        </is>
      </c>
    </row>
    <row r="24">
      <c r="A24" s="6" t="inlineStr">
        <is>
          <t>BLI-000905</t>
        </is>
      </c>
      <c r="B24" s="6" t="inlineStr">
        <is>
          <t>BOM-000216-R02</t>
        </is>
      </c>
      <c r="C24" s="6" t="inlineStr">
        <is>
          <t>BLI-000900</t>
        </is>
      </c>
      <c r="D24" s="9" t="n">
        <v>1</v>
      </c>
      <c r="E24" s="9" t="n">
        <v>60</v>
      </c>
      <c r="F24" s="6" t="inlineStr">
        <is>
          <t>MAT-001546</t>
        </is>
      </c>
      <c r="G24" s="9" t="n">
        <v>1</v>
      </c>
      <c r="H24" s="6" t="inlineStr">
        <is>
          <t>pcs</t>
        </is>
      </c>
      <c r="I24" s="17" t="n">
        <v>0</v>
      </c>
      <c r="J24" s="9">
        <f>$G24</f>
        <v/>
      </c>
      <c r="K24" s="9">
        <f>ROUND($G24*(1+$I24),3)</f>
        <v/>
      </c>
      <c r="L24" s="6" t="inlineStr">
        <is>
          <t>Buy</t>
        </is>
      </c>
      <c r="M24" s="6" t="inlineStr">
        <is>
          <t>SUP-000087</t>
        </is>
      </c>
      <c r="N24" s="11" t="n">
        <v>46293</v>
      </c>
      <c r="O24" s="11" t="inlineStr">
        <is>
          <t>USR-04</t>
        </is>
      </c>
    </row>
    <row r="25">
      <c r="A25" s="4" t="inlineStr">
        <is>
          <t>BLI-000906</t>
        </is>
      </c>
      <c r="B25" s="4" t="inlineStr">
        <is>
          <t>BOM-000216-R02</t>
        </is>
      </c>
      <c r="C25" s="4" t="inlineStr">
        <is>
          <t>BLI-000900</t>
        </is>
      </c>
      <c r="D25" s="8" t="n">
        <v>1</v>
      </c>
      <c r="E25" s="8" t="n">
        <v>70</v>
      </c>
      <c r="F25" s="4" t="inlineStr">
        <is>
          <t>MAT-001548</t>
        </is>
      </c>
      <c r="G25" s="8" t="n">
        <v>1</v>
      </c>
      <c r="H25" s="4" t="inlineStr">
        <is>
          <t>pcs</t>
        </is>
      </c>
      <c r="I25" s="16" t="n">
        <v>0</v>
      </c>
      <c r="J25" s="8">
        <f>$G25</f>
        <v/>
      </c>
      <c r="K25" s="8">
        <f>ROUND($G25*(1+$I25),3)</f>
        <v/>
      </c>
      <c r="L25" s="4" t="inlineStr">
        <is>
          <t>Buy</t>
        </is>
      </c>
      <c r="M25" s="4" t="inlineStr">
        <is>
          <t>SUP-000086</t>
        </is>
      </c>
      <c r="N25" s="10" t="n">
        <v>46293</v>
      </c>
      <c r="O25" s="10" t="inlineStr">
        <is>
          <t>USR-04</t>
        </is>
      </c>
    </row>
  </sheetData>
  <dataValidations count="2">
    <dataValidation sqref="H3:H25" showDropDown="0" showInputMessage="0" showErrorMessage="1" allowBlank="1" errorTitle="Data Validation" error="مقدار خارج از فهرست مجاز است" promptTitle="UoM" prompt="انتخاب از فهرست مجاز برای UoM" type="list">
      <formula1>"pcs,kg,m,m2,liter,set,ton"</formula1>
    </dataValidation>
    <dataValidation sqref="L3:L25" showDropDown="0" showInputMessage="0" showErrorMessage="1" allowBlank="1" errorTitle="Data Validation" error="مقدار خارج از فهرست مجاز است" promptTitle="Make_Buy" prompt="انتخاب از فهرست مجاز برای Make_Buy" type="list">
      <formula1>"Make,Buy"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4" customWidth="1" min="5" max="5"/>
    <col width="14" customWidth="1" min="6" max="6"/>
    <col width="12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Supplier_Quotes</t>
        </is>
      </c>
      <c r="B1" s="2" t="inlineStr">
        <is>
          <t>استعلام به تفکیک ماده؛ انتخاب تأمین‌کننده در ردیف‌ها (نه فقط کمترین قیمت) توسط مسئول مجاز.</t>
        </is>
      </c>
    </row>
    <row r="2">
      <c r="A2" s="3" t="inlineStr">
        <is>
          <t>System_ID</t>
        </is>
      </c>
      <c r="B2" s="3" t="inlineStr">
        <is>
          <t>Project_ID</t>
        </is>
      </c>
      <c r="C2" s="3" t="inlineStr">
        <is>
          <t>Material_ID</t>
        </is>
      </c>
      <c r="D2" s="3" t="inlineStr">
        <is>
          <t>Qty_Required</t>
        </is>
      </c>
      <c r="E2" s="3" t="inlineStr">
        <is>
          <t>Quoted_Date</t>
        </is>
      </c>
      <c r="F2" s="3" t="inlineStr">
        <is>
          <t>Valid_Until</t>
        </is>
      </c>
      <c r="G2" s="3" t="inlineStr">
        <is>
          <t>Status_ID</t>
        </is>
      </c>
      <c r="H2" s="3" t="inlineStr">
        <is>
          <t>Selected_Line_ID</t>
        </is>
      </c>
      <c r="I2" s="3" t="inlineStr">
        <is>
          <t>Create_Date</t>
        </is>
      </c>
      <c r="J2" s="3" t="inlineStr">
        <is>
          <t>Created_By</t>
        </is>
      </c>
    </row>
    <row r="3">
      <c r="A3" s="4" t="inlineStr">
        <is>
          <t>SQT-2026-00545</t>
        </is>
      </c>
      <c r="B3" s="4" t="inlineStr">
        <is>
          <t>PRJ-2026-00125</t>
        </is>
      </c>
      <c r="C3" s="4" t="inlineStr">
        <is>
          <t>MAT-001545</t>
        </is>
      </c>
      <c r="D3" s="8" t="n">
        <v>2</v>
      </c>
      <c r="E3" s="10" t="n">
        <v>46280</v>
      </c>
      <c r="F3" s="10" t="n">
        <v>46366</v>
      </c>
      <c r="G3" s="4" t="inlineStr">
        <is>
          <t>Closed</t>
        </is>
      </c>
      <c r="H3" s="4" t="inlineStr">
        <is>
          <t>SQL-002354</t>
        </is>
      </c>
      <c r="I3" s="10" t="n">
        <v>46280</v>
      </c>
      <c r="J3" s="10" t="inlineStr">
        <is>
          <t>USR-06</t>
        </is>
      </c>
    </row>
    <row r="4">
      <c r="A4" s="6" t="inlineStr">
        <is>
          <t>SQT-2026-00546</t>
        </is>
      </c>
      <c r="B4" s="6" t="inlineStr">
        <is>
          <t>PRJ-2026-00125</t>
        </is>
      </c>
      <c r="C4" s="6" t="inlineStr">
        <is>
          <t>MAT-001544</t>
        </is>
      </c>
      <c r="D4" s="9" t="n">
        <v>2</v>
      </c>
      <c r="E4" s="11" t="n">
        <v>46280</v>
      </c>
      <c r="F4" s="11" t="n">
        <v>46346</v>
      </c>
      <c r="G4" s="6" t="inlineStr">
        <is>
          <t>Closed</t>
        </is>
      </c>
      <c r="H4" s="6" t="inlineStr">
        <is>
          <t>SQL-002360</t>
        </is>
      </c>
      <c r="I4" s="11" t="n">
        <v>46280</v>
      </c>
      <c r="J4" s="11" t="inlineStr">
        <is>
          <t>USR-06</t>
        </is>
      </c>
    </row>
    <row r="5">
      <c r="A5" s="4" t="inlineStr">
        <is>
          <t>SQT-2026-00547</t>
        </is>
      </c>
      <c r="B5" s="4" t="inlineStr">
        <is>
          <t>PRJ-2026-00125</t>
        </is>
      </c>
      <c r="C5" s="4" t="inlineStr">
        <is>
          <t>MAT-001546</t>
        </is>
      </c>
      <c r="D5" s="8" t="n">
        <v>2</v>
      </c>
      <c r="E5" s="10" t="n">
        <v>46280</v>
      </c>
      <c r="F5" s="10" t="n">
        <v>46357</v>
      </c>
      <c r="G5" s="4" t="inlineStr">
        <is>
          <t>Closed</t>
        </is>
      </c>
      <c r="H5" s="4" t="inlineStr">
        <is>
          <t>SQL-002364</t>
        </is>
      </c>
      <c r="I5" s="10" t="n">
        <v>46280</v>
      </c>
      <c r="J5" s="10" t="inlineStr">
        <is>
          <t>USR-06</t>
        </is>
      </c>
    </row>
    <row r="6">
      <c r="A6" s="6" t="inlineStr">
        <is>
          <t>SQT-2026-00548</t>
        </is>
      </c>
      <c r="B6" s="6" t="inlineStr">
        <is>
          <t>PRJ-2026-00125</t>
        </is>
      </c>
      <c r="C6" s="6" t="inlineStr">
        <is>
          <t>MAT-001548</t>
        </is>
      </c>
      <c r="D6" s="9" t="n">
        <v>2</v>
      </c>
      <c r="E6" s="11" t="n">
        <v>46280</v>
      </c>
      <c r="F6" s="11" t="n">
        <v>46376</v>
      </c>
      <c r="G6" s="6" t="inlineStr">
        <is>
          <t>Closed</t>
        </is>
      </c>
      <c r="H6" s="6" t="inlineStr">
        <is>
          <t>SQL-002368</t>
        </is>
      </c>
      <c r="I6" s="11" t="n">
        <v>46280</v>
      </c>
      <c r="J6" s="11" t="inlineStr">
        <is>
          <t>USR-06</t>
        </is>
      </c>
    </row>
  </sheetData>
  <dataValidations count="1">
    <dataValidation sqref="G3:G6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3" customWidth="1" min="4" max="4"/>
    <col width="11" customWidth="1" min="5" max="5"/>
    <col width="11" customWidth="1" min="6" max="6"/>
    <col width="18" customWidth="1" min="7" max="7"/>
    <col width="16" customWidth="1" min="8" max="8"/>
    <col width="11" customWidth="1" min="9" max="9"/>
    <col width="11" customWidth="1" min="10" max="10"/>
    <col width="11" customWidth="1" min="11" max="11"/>
    <col width="15" customWidth="1" min="12" max="12"/>
    <col width="25" customWidth="1" min="13" max="13"/>
    <col width="16" customWidth="1" min="14" max="14"/>
    <col width="15" customWidth="1" min="15" max="15"/>
    <col width="18" customWidth="1" min="16" max="16"/>
    <col width="13" customWidth="1" min="17" max="17"/>
    <col width="19" customWidth="1" min="18" max="18"/>
    <col width="14" customWidth="1" min="19" max="19"/>
    <col width="11" customWidth="1" min="20" max="20"/>
    <col width="19" customWidth="1" min="21" max="21"/>
    <col width="14" customWidth="1" min="22" max="22"/>
    <col width="13" customWidth="1" min="23" max="23"/>
  </cols>
  <sheetData>
    <row r="1">
      <c r="A1" s="1" t="inlineStr">
        <is>
          <t>Supplier_Quote_Lines</t>
        </is>
      </c>
      <c r="B1" s="2" t="inlineStr">
        <is>
          <t>معیارهای قیمت/کیفیت/زمان/ریسک؛ Score_Total صرفاً جنبه مقایسه دارد و سیستم به‌طور خودکار «بهترین» را اعلام نمی‌کند.</t>
        </is>
      </c>
    </row>
    <row r="2">
      <c r="A2" s="3" t="inlineStr">
        <is>
          <t>System_ID</t>
        </is>
      </c>
      <c r="B2" s="3" t="inlineStr">
        <is>
          <t>Supplier_Quote_ID</t>
        </is>
      </c>
      <c r="C2" s="3" t="inlineStr">
        <is>
          <t>Supplier_ID</t>
        </is>
      </c>
      <c r="D2" s="3" t="inlineStr">
        <is>
          <t>Unit_Price</t>
        </is>
      </c>
      <c r="E2" s="3" t="inlineStr">
        <is>
          <t>Currency</t>
        </is>
      </c>
      <c r="F2" s="3" t="inlineStr">
        <is>
          <t>MOQ</t>
        </is>
      </c>
      <c r="G2" s="3" t="inlineStr">
        <is>
          <t>Lead_Time_Days</t>
        </is>
      </c>
      <c r="H2" s="3" t="inlineStr">
        <is>
          <t>Payment_Terms</t>
        </is>
      </c>
      <c r="I2" s="3" t="inlineStr">
        <is>
          <t>Incoterm</t>
        </is>
      </c>
      <c r="J2" s="3" t="inlineStr">
        <is>
          <t>Freight</t>
        </is>
      </c>
      <c r="K2" s="3" t="inlineStr">
        <is>
          <t>Valid_To</t>
        </is>
      </c>
      <c r="L2" s="3" t="inlineStr">
        <is>
          <t>Price_Source</t>
        </is>
      </c>
      <c r="M2" s="3" t="inlineStr">
        <is>
          <t>Price_Confirm_Status</t>
        </is>
      </c>
      <c r="N2" s="3" t="inlineStr">
        <is>
          <t>Quality_Score</t>
        </is>
      </c>
      <c r="O2" s="3" t="inlineStr">
        <is>
          <t>OnTime_Score</t>
        </is>
      </c>
      <c r="P2" s="3" t="inlineStr">
        <is>
          <t>Capacity_Score</t>
        </is>
      </c>
      <c r="Q2" s="3" t="inlineStr">
        <is>
          <t>Risk_Score</t>
        </is>
      </c>
      <c r="R2" s="3" t="inlineStr">
        <is>
          <t>Longevity_Score</t>
        </is>
      </c>
      <c r="S2" s="3" t="inlineStr">
        <is>
          <t>Score_Total</t>
        </is>
      </c>
      <c r="T2" s="3" t="inlineStr">
        <is>
          <t>Selected</t>
        </is>
      </c>
      <c r="U2" s="3" t="inlineStr">
        <is>
          <t>Landed_Estimate</t>
        </is>
      </c>
      <c r="V2" s="3" t="inlineStr">
        <is>
          <t>Create_Date</t>
        </is>
      </c>
      <c r="W2" s="3" t="inlineStr">
        <is>
          <t>Created_By</t>
        </is>
      </c>
    </row>
    <row r="3">
      <c r="A3" s="4" t="inlineStr">
        <is>
          <t>SQL-002354</t>
        </is>
      </c>
      <c r="B3" s="4" t="inlineStr">
        <is>
          <t>SQT-2026-00545</t>
        </is>
      </c>
      <c r="C3" s="4" t="inlineStr">
        <is>
          <t>SUP-000088</t>
        </is>
      </c>
      <c r="D3" s="5" t="n">
        <v>185000000</v>
      </c>
      <c r="E3" s="4" t="inlineStr">
        <is>
          <t>IRR</t>
        </is>
      </c>
      <c r="F3" s="8" t="n">
        <v>1</v>
      </c>
      <c r="G3" s="14" t="n">
        <v>30</v>
      </c>
      <c r="H3" s="4" t="inlineStr">
        <is>
          <t>30 days</t>
        </is>
      </c>
      <c r="I3" s="4" t="inlineStr">
        <is>
          <t>CPT</t>
        </is>
      </c>
      <c r="J3" s="5" t="n">
        <v>2000000</v>
      </c>
      <c r="K3" s="10" t="n">
        <v>46356</v>
      </c>
      <c r="L3" s="5" t="inlineStr">
        <is>
          <t>Email Quote 12-Sep</t>
        </is>
      </c>
      <c r="M3" s="5" t="inlineStr">
        <is>
          <t>Confirmed</t>
        </is>
      </c>
      <c r="N3" s="8" t="n">
        <v>5</v>
      </c>
      <c r="O3" s="8" t="n">
        <v>5</v>
      </c>
      <c r="P3" s="8" t="n">
        <v>4</v>
      </c>
      <c r="Q3" s="8" t="n">
        <v>2</v>
      </c>
      <c r="R3" s="8" t="n">
        <v>3</v>
      </c>
      <c r="S3" s="5">
        <f>SUM($N3:$R3)</f>
        <v/>
      </c>
      <c r="T3" s="4" t="n">
        <v>1</v>
      </c>
      <c r="U3" s="5">
        <f>$D3+$J3</f>
        <v/>
      </c>
      <c r="V3" s="10" t="n">
        <v>46280</v>
      </c>
      <c r="W3" s="10" t="inlineStr">
        <is>
          <t>USR-06</t>
        </is>
      </c>
    </row>
    <row r="4">
      <c r="A4" s="6" t="inlineStr">
        <is>
          <t>SQL-002355</t>
        </is>
      </c>
      <c r="B4" s="6" t="inlineStr">
        <is>
          <t>SQT-2026-00545</t>
        </is>
      </c>
      <c r="C4" s="6" t="inlineStr">
        <is>
          <t>SUP-000089</t>
        </is>
      </c>
      <c r="D4" s="7" t="n">
        <v>172000000</v>
      </c>
      <c r="E4" s="6" t="inlineStr">
        <is>
          <t>IRR</t>
        </is>
      </c>
      <c r="F4" s="9" t="n">
        <v>2</v>
      </c>
      <c r="G4" s="15" t="n">
        <v>45</v>
      </c>
      <c r="H4" s="6" t="inlineStr">
        <is>
          <t>60 days</t>
        </is>
      </c>
      <c r="I4" s="6" t="inlineStr">
        <is>
          <t>CPT</t>
        </is>
      </c>
      <c r="J4" s="7" t="n">
        <v>2500000</v>
      </c>
      <c r="K4" s="11" t="n">
        <v>46341</v>
      </c>
      <c r="L4" s="7" t="inlineStr">
        <is>
          <t>Portal RFQ</t>
        </is>
      </c>
      <c r="M4" s="7" t="inlineStr">
        <is>
          <t>Confirmed</t>
        </is>
      </c>
      <c r="N4" s="9" t="n">
        <v>4</v>
      </c>
      <c r="O4" s="9" t="n">
        <v>4</v>
      </c>
      <c r="P4" s="9" t="n">
        <v>3</v>
      </c>
      <c r="Q4" s="9" t="n">
        <v>3</v>
      </c>
      <c r="R4" s="9" t="n">
        <v>3</v>
      </c>
      <c r="S4" s="7">
        <f>SUM($N4:$R4)</f>
        <v/>
      </c>
      <c r="T4" s="6" t="n">
        <v>0</v>
      </c>
      <c r="U4" s="7">
        <f>$D4+$J4</f>
        <v/>
      </c>
      <c r="V4" s="11" t="n">
        <v>46280</v>
      </c>
      <c r="W4" s="11" t="inlineStr">
        <is>
          <t>USR-06</t>
        </is>
      </c>
    </row>
    <row r="5">
      <c r="A5" s="4" t="inlineStr">
        <is>
          <t>SQL-002356</t>
        </is>
      </c>
      <c r="B5" s="4" t="inlineStr">
        <is>
          <t>SQT-2026-00545</t>
        </is>
      </c>
      <c r="C5" s="4" t="inlineStr">
        <is>
          <t>SUP-000090</t>
        </is>
      </c>
      <c r="D5" s="5" t="n">
        <v>190000000</v>
      </c>
      <c r="E5" s="4" t="inlineStr">
        <is>
          <t>IRR</t>
        </is>
      </c>
      <c r="F5" s="8" t="n">
        <v>1</v>
      </c>
      <c r="G5" s="14" t="n">
        <v>25</v>
      </c>
      <c r="H5" s="4" t="inlineStr">
        <is>
          <t>advance</t>
        </is>
      </c>
      <c r="I5" s="4" t="inlineStr">
        <is>
          <t>EXW</t>
        </is>
      </c>
      <c r="J5" s="5" t="n">
        <v>3000000</v>
      </c>
      <c r="K5" s="10" t="n">
        <v>46366</v>
      </c>
      <c r="L5" s="5" t="inlineStr">
        <is>
          <t>Phone + Email</t>
        </is>
      </c>
      <c r="M5" s="5" t="inlineStr">
        <is>
          <t>Confirmed</t>
        </is>
      </c>
      <c r="N5" s="8" t="n">
        <v>3</v>
      </c>
      <c r="O5" s="8" t="n">
        <v>3</v>
      </c>
      <c r="P5" s="8" t="n">
        <v>2</v>
      </c>
      <c r="Q5" s="8" t="n">
        <v>4</v>
      </c>
      <c r="R5" s="8" t="n">
        <v>2</v>
      </c>
      <c r="S5" s="5">
        <f>SUM($N5:$R5)</f>
        <v/>
      </c>
      <c r="T5" s="4" t="n">
        <v>0</v>
      </c>
      <c r="U5" s="5">
        <f>$D5+$J5</f>
        <v/>
      </c>
      <c r="V5" s="10" t="n">
        <v>46280</v>
      </c>
      <c r="W5" s="10" t="inlineStr">
        <is>
          <t>USR-06</t>
        </is>
      </c>
    </row>
    <row r="6">
      <c r="A6" s="6" t="inlineStr">
        <is>
          <t>SQL-002360</t>
        </is>
      </c>
      <c r="B6" s="6" t="inlineStr">
        <is>
          <t>SQT-2026-00546</t>
        </is>
      </c>
      <c r="C6" s="6" t="inlineStr">
        <is>
          <t>SUP-000089</t>
        </is>
      </c>
      <c r="D6" s="7" t="n">
        <v>95000000</v>
      </c>
      <c r="E6" s="6" t="inlineStr">
        <is>
          <t>IRR</t>
        </is>
      </c>
      <c r="F6" s="9" t="n">
        <v>1</v>
      </c>
      <c r="G6" s="15" t="n">
        <v>25</v>
      </c>
      <c r="H6" s="6" t="inlineStr">
        <is>
          <t>30 days</t>
        </is>
      </c>
      <c r="I6" s="6" t="inlineStr">
        <is>
          <t>CPT</t>
        </is>
      </c>
      <c r="J6" s="7" t="n">
        <v>1200000</v>
      </c>
      <c r="K6" s="11" t="n">
        <v>46346</v>
      </c>
      <c r="L6" s="7" t="inlineStr">
        <is>
          <t>Email Quote 14-Sep</t>
        </is>
      </c>
      <c r="M6" s="7" t="inlineStr">
        <is>
          <t>Confirmed</t>
        </is>
      </c>
      <c r="N6" s="9" t="n">
        <v>5</v>
      </c>
      <c r="O6" s="9" t="n">
        <v>4</v>
      </c>
      <c r="P6" s="9" t="n">
        <v>4</v>
      </c>
      <c r="Q6" s="9" t="n">
        <v>2</v>
      </c>
      <c r="R6" s="9" t="n">
        <v>4</v>
      </c>
      <c r="S6" s="7">
        <f>SUM($N6:$R6)</f>
        <v/>
      </c>
      <c r="T6" s="6" t="n">
        <v>1</v>
      </c>
      <c r="U6" s="7">
        <f>$D6+$J6</f>
        <v/>
      </c>
      <c r="V6" s="11" t="n">
        <v>46280</v>
      </c>
      <c r="W6" s="11" t="inlineStr">
        <is>
          <t>USR-06</t>
        </is>
      </c>
    </row>
    <row r="7">
      <c r="A7" s="4" t="inlineStr">
        <is>
          <t>SQL-002361</t>
        </is>
      </c>
      <c r="B7" s="4" t="inlineStr">
        <is>
          <t>SQT-2026-00546</t>
        </is>
      </c>
      <c r="C7" s="4" t="inlineStr">
        <is>
          <t>SUP-000090</t>
        </is>
      </c>
      <c r="D7" s="5" t="n">
        <v>99000000</v>
      </c>
      <c r="E7" s="4" t="inlineStr">
        <is>
          <t>IRR</t>
        </is>
      </c>
      <c r="F7" s="8" t="n">
        <v>1</v>
      </c>
      <c r="G7" s="14" t="n">
        <v>30</v>
      </c>
      <c r="H7" s="4" t="inlineStr">
        <is>
          <t>45 days</t>
        </is>
      </c>
      <c r="I7" s="4" t="inlineStr">
        <is>
          <t>EXW</t>
        </is>
      </c>
      <c r="J7" s="5" t="n">
        <v>1500000</v>
      </c>
      <c r="K7" s="10" t="n">
        <v>46336</v>
      </c>
      <c r="L7" s="5" t="inlineStr">
        <is>
          <t>Portal RFQ</t>
        </is>
      </c>
      <c r="M7" s="5" t="inlineStr">
        <is>
          <t>Confirmed</t>
        </is>
      </c>
      <c r="N7" s="8" t="n">
        <v>4</v>
      </c>
      <c r="O7" s="8" t="n">
        <v>3</v>
      </c>
      <c r="P7" s="8" t="n">
        <v>3</v>
      </c>
      <c r="Q7" s="8" t="n">
        <v>3</v>
      </c>
      <c r="R7" s="8" t="n">
        <v>3</v>
      </c>
      <c r="S7" s="5">
        <f>SUM($N7:$R7)</f>
        <v/>
      </c>
      <c r="T7" s="4" t="n">
        <v>0</v>
      </c>
      <c r="U7" s="5">
        <f>$D7+$J7</f>
        <v/>
      </c>
      <c r="V7" s="10" t="n">
        <v>46280</v>
      </c>
      <c r="W7" s="10" t="inlineStr">
        <is>
          <t>USR-06</t>
        </is>
      </c>
    </row>
    <row r="8">
      <c r="A8" s="6" t="inlineStr">
        <is>
          <t>SQL-002364</t>
        </is>
      </c>
      <c r="B8" s="6" t="inlineStr">
        <is>
          <t>SQT-2026-00547</t>
        </is>
      </c>
      <c r="C8" s="6" t="inlineStr">
        <is>
          <t>SUP-000087</t>
        </is>
      </c>
      <c r="D8" s="7" t="n">
        <v>2500</v>
      </c>
      <c r="E8" s="6" t="inlineStr">
        <is>
          <t>USD</t>
        </is>
      </c>
      <c r="F8" s="9" t="n">
        <v>1</v>
      </c>
      <c r="G8" s="15" t="n">
        <v>45</v>
      </c>
      <c r="H8" s="6" t="inlineStr">
        <is>
          <t>45 days</t>
        </is>
      </c>
      <c r="I8" s="6" t="inlineStr">
        <is>
          <t>CPT</t>
        </is>
      </c>
      <c r="J8" s="7" t="n">
        <v>30</v>
      </c>
      <c r="K8" s="11" t="n">
        <v>46357</v>
      </c>
      <c r="L8" s="7" t="inlineStr">
        <is>
          <t>Signed Quote</t>
        </is>
      </c>
      <c r="M8" s="7" t="inlineStr">
        <is>
          <t>Confirmed</t>
        </is>
      </c>
      <c r="N8" s="9" t="n">
        <v>5</v>
      </c>
      <c r="O8" s="9" t="n">
        <v>4</v>
      </c>
      <c r="P8" s="9" t="n">
        <v>5</v>
      </c>
      <c r="Q8" s="9" t="n">
        <v>2</v>
      </c>
      <c r="R8" s="9" t="n">
        <v>5</v>
      </c>
      <c r="S8" s="7">
        <f>SUM($N8:$R8)</f>
        <v/>
      </c>
      <c r="T8" s="6" t="n">
        <v>1</v>
      </c>
      <c r="U8" s="7">
        <f>$D8+$J8</f>
        <v/>
      </c>
      <c r="V8" s="11" t="n">
        <v>46280</v>
      </c>
      <c r="W8" s="11" t="inlineStr">
        <is>
          <t>USR-06</t>
        </is>
      </c>
    </row>
    <row r="9">
      <c r="A9" s="4" t="inlineStr">
        <is>
          <t>SQL-002365</t>
        </is>
      </c>
      <c r="B9" s="4" t="inlineStr">
        <is>
          <t>SQT-2026-00547</t>
        </is>
      </c>
      <c r="C9" s="4" t="inlineStr">
        <is>
          <t>SUP-000090</t>
        </is>
      </c>
      <c r="D9" s="5" t="n">
        <v>1220000000</v>
      </c>
      <c r="E9" s="4" t="inlineStr">
        <is>
          <t>IRR</t>
        </is>
      </c>
      <c r="F9" s="8" t="n">
        <v>2</v>
      </c>
      <c r="G9" s="14" t="n">
        <v>60</v>
      </c>
      <c r="H9" s="4" t="inlineStr">
        <is>
          <t>60 days</t>
        </is>
      </c>
      <c r="I9" s="4" t="inlineStr">
        <is>
          <t>EXW</t>
        </is>
      </c>
      <c r="J9" s="5" t="n">
        <v>18000000</v>
      </c>
      <c r="K9" s="10" t="n">
        <v>46351</v>
      </c>
      <c r="L9" s="5" t="inlineStr">
        <is>
          <t>Email Quote</t>
        </is>
      </c>
      <c r="M9" s="5" t="inlineStr">
        <is>
          <t>Confirmed</t>
        </is>
      </c>
      <c r="N9" s="8" t="n">
        <v>4</v>
      </c>
      <c r="O9" s="8" t="n">
        <v>3</v>
      </c>
      <c r="P9" s="8" t="n">
        <v>4</v>
      </c>
      <c r="Q9" s="8" t="n">
        <v>3</v>
      </c>
      <c r="R9" s="8" t="n">
        <v>4</v>
      </c>
      <c r="S9" s="5">
        <f>SUM($N9:$R9)</f>
        <v/>
      </c>
      <c r="T9" s="4" t="n">
        <v>0</v>
      </c>
      <c r="U9" s="5">
        <f>$D9+$J9</f>
        <v/>
      </c>
      <c r="V9" s="10" t="n">
        <v>46280</v>
      </c>
      <c r="W9" s="10" t="inlineStr">
        <is>
          <t>USR-06</t>
        </is>
      </c>
    </row>
    <row r="10">
      <c r="A10" s="6" t="inlineStr">
        <is>
          <t>SQL-002368</t>
        </is>
      </c>
      <c r="B10" s="6" t="inlineStr">
        <is>
          <t>SQT-2026-00548</t>
        </is>
      </c>
      <c r="C10" s="6" t="inlineStr">
        <is>
          <t>SUP-000086</t>
        </is>
      </c>
      <c r="D10" s="7" t="n">
        <v>12000000</v>
      </c>
      <c r="E10" s="6" t="inlineStr">
        <is>
          <t>IRR</t>
        </is>
      </c>
      <c r="F10" s="9" t="n">
        <v>1</v>
      </c>
      <c r="G10" s="15" t="n">
        <v>10</v>
      </c>
      <c r="H10" s="6" t="inlineStr">
        <is>
          <t>cash</t>
        </is>
      </c>
      <c r="I10" s="6" t="inlineStr">
        <is>
          <t>EXW</t>
        </is>
      </c>
      <c r="J10" s="7" t="n">
        <v>0</v>
      </c>
      <c r="K10" s="11" t="n">
        <v>46376</v>
      </c>
      <c r="L10" s="7" t="inlineStr">
        <is>
          <t>Price list</t>
        </is>
      </c>
      <c r="M10" s="7" t="inlineStr">
        <is>
          <t>Confirmed</t>
        </is>
      </c>
      <c r="N10" s="9" t="n">
        <v>4</v>
      </c>
      <c r="O10" s="9" t="n">
        <v>5</v>
      </c>
      <c r="P10" s="9" t="n">
        <v>5</v>
      </c>
      <c r="Q10" s="9" t="n">
        <v>1</v>
      </c>
      <c r="R10" s="9" t="n">
        <v>5</v>
      </c>
      <c r="S10" s="7">
        <f>SUM($N10:$R10)</f>
        <v/>
      </c>
      <c r="T10" s="6" t="n">
        <v>1</v>
      </c>
      <c r="U10" s="7">
        <f>$D10+$J10</f>
        <v/>
      </c>
      <c r="V10" s="11" t="n">
        <v>46280</v>
      </c>
      <c r="W10" s="11" t="inlineStr">
        <is>
          <t>USR-06</t>
        </is>
      </c>
    </row>
  </sheetData>
  <dataValidations count="3">
    <dataValidation sqref="E3:E10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I3:I10" showDropDown="0" showInputMessage="0" showErrorMessage="1" allowBlank="1" errorTitle="Data Validation" error="مقدار خارج از فهرست مجاز است" promptTitle="Incoterm" prompt="انتخاب از فهرست مجاز برای Incoterm" type="list">
      <formula1>"EXW,FCA,CPT,CIP,DAP,DDP"</formula1>
    </dataValidation>
    <dataValidation sqref="M3:M10" showDropDown="0" showInputMessage="0" showErrorMessage="1" allowBlank="1" errorTitle="Data Validation" error="مقدار خارج از فهرست مجاز است" promptTitle="Price_Confirm_Status" prompt="انتخاب از فهرست مجاز برای Price_Confirm_Status" type="list">
      <formula1>"Quoted,Confirmed,Revoked"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23" customWidth="1" min="9" max="9"/>
    <col width="14" customWidth="1" min="10" max="10"/>
    <col width="18" customWidth="1" min="11" max="11"/>
    <col width="16" customWidth="1" min="12" max="12"/>
    <col width="11" customWidth="1" min="13" max="13"/>
    <col width="20" customWidth="1" min="14" max="14"/>
    <col width="22" customWidth="1" min="15" max="15"/>
    <col width="20" customWidth="1" min="16" max="16"/>
    <col width="21" customWidth="1" min="17" max="17"/>
    <col width="18" customWidth="1" min="18" max="18"/>
    <col width="20" customWidth="1" min="19" max="19"/>
    <col width="13" customWidth="1" min="20" max="20"/>
    <col width="15" customWidth="1" min="21" max="21"/>
    <col width="18" customWidth="1" min="22" max="22"/>
    <col width="22" customWidth="1" min="23" max="23"/>
    <col width="12" customWidth="1" min="24" max="24"/>
    <col width="14" customWidth="1" min="25" max="25"/>
    <col width="13" customWidth="1" min="26" max="26"/>
  </cols>
  <sheetData>
    <row r="1">
      <c r="A1" s="1" t="inlineStr">
        <is>
          <t>Procurement</t>
        </is>
      </c>
      <c r="B1" s="2" t="inlineStr">
        <is>
          <t>تصمیم خرید تأییدشده + Price Build-up: Unit + Freight + Insurance + Customs + Handling + Other = Landed (با تبدیل ارز).</t>
        </is>
      </c>
    </row>
    <row r="2">
      <c r="A2" s="3" t="inlineStr">
        <is>
          <t>System_ID</t>
        </is>
      </c>
      <c r="B2" s="3" t="inlineStr">
        <is>
          <t>Project_ID</t>
        </is>
      </c>
      <c r="C2" s="3" t="inlineStr">
        <is>
          <t>Material_ID</t>
        </is>
      </c>
      <c r="D2" s="3" t="inlineStr">
        <is>
          <t>Supplier_ID</t>
        </is>
      </c>
      <c r="E2" s="3" t="inlineStr">
        <is>
          <t>Buyer</t>
        </is>
      </c>
      <c r="F2" s="3" t="inlineStr">
        <is>
          <t>Currency</t>
        </is>
      </c>
      <c r="G2" s="3" t="inlineStr">
        <is>
          <t>Fx_Rate</t>
        </is>
      </c>
      <c r="H2" s="3" t="inlineStr">
        <is>
          <t>Buy_Qty</t>
        </is>
      </c>
      <c r="I2" s="3" t="inlineStr">
        <is>
          <t>Unit_Purchase_Price</t>
        </is>
      </c>
      <c r="J2" s="3" t="inlineStr">
        <is>
          <t>MOQ_Applied</t>
        </is>
      </c>
      <c r="K2" s="3" t="inlineStr">
        <is>
          <t>Lead_Time_Days</t>
        </is>
      </c>
      <c r="L2" s="3" t="inlineStr">
        <is>
          <t>Payment_Terms</t>
        </is>
      </c>
      <c r="M2" s="3" t="inlineStr">
        <is>
          <t>Incoterm</t>
        </is>
      </c>
      <c r="N2" s="3" t="inlineStr">
        <is>
          <t>Freight_Per_Unit</t>
        </is>
      </c>
      <c r="O2" s="3" t="inlineStr">
        <is>
          <t>Insurance_Per_Unit</t>
        </is>
      </c>
      <c r="P2" s="3" t="inlineStr">
        <is>
          <t>Customs_Per_Unit</t>
        </is>
      </c>
      <c r="Q2" s="3" t="inlineStr">
        <is>
          <t>Handling_Per_Unit</t>
        </is>
      </c>
      <c r="R2" s="3" t="inlineStr">
        <is>
          <t>Other_Per_Unit</t>
        </is>
      </c>
      <c r="S2" s="3" t="inlineStr">
        <is>
          <t>Landed_Cost_Unit</t>
        </is>
      </c>
      <c r="T2" s="3" t="inlineStr">
        <is>
          <t>Price_Date</t>
        </is>
      </c>
      <c r="U2" s="3" t="inlineStr">
        <is>
          <t>Price_Source</t>
        </is>
      </c>
      <c r="V2" s="3" t="inlineStr">
        <is>
          <t>Price_Valid_To</t>
        </is>
      </c>
      <c r="W2" s="3" t="inlineStr">
        <is>
          <t>Price_Expired_Flag</t>
        </is>
      </c>
      <c r="X2" s="3" t="inlineStr">
        <is>
          <t>Status_ID</t>
        </is>
      </c>
      <c r="Y2" s="3" t="inlineStr">
        <is>
          <t>Create_Date</t>
        </is>
      </c>
      <c r="Z2" s="3" t="inlineStr">
        <is>
          <t>Created_By</t>
        </is>
      </c>
    </row>
    <row r="3">
      <c r="A3" s="4" t="inlineStr">
        <is>
          <t>PRC-0001</t>
        </is>
      </c>
      <c r="B3" s="4" t="inlineStr">
        <is>
          <t>PRJ-2026-00125</t>
        </is>
      </c>
      <c r="C3" s="4" t="inlineStr">
        <is>
          <t>MAT-001545</t>
        </is>
      </c>
      <c r="D3" s="4" t="inlineStr">
        <is>
          <t>SUP-000088</t>
        </is>
      </c>
      <c r="E3" s="4" t="inlineStr">
        <is>
          <t>USR-06</t>
        </is>
      </c>
      <c r="F3" s="4" t="inlineStr">
        <is>
          <t>IRR</t>
        </is>
      </c>
      <c r="G3" s="5" t="n">
        <v>1</v>
      </c>
      <c r="H3" s="8" t="n">
        <v>2</v>
      </c>
      <c r="I3" s="5" t="n">
        <v>185000000</v>
      </c>
      <c r="J3" s="8" t="n">
        <v>1</v>
      </c>
      <c r="K3" s="14" t="n">
        <v>30</v>
      </c>
      <c r="L3" s="4" t="inlineStr">
        <is>
          <t>30 days</t>
        </is>
      </c>
      <c r="M3" s="4" t="inlineStr">
        <is>
          <t>CPT</t>
        </is>
      </c>
      <c r="N3" s="5" t="n">
        <v>2000000</v>
      </c>
      <c r="O3" s="5" t="n">
        <v>0</v>
      </c>
      <c r="P3" s="5" t="n">
        <v>0</v>
      </c>
      <c r="Q3" s="5" t="n">
        <v>0</v>
      </c>
      <c r="R3" s="5" t="n">
        <v>0</v>
      </c>
      <c r="S3" s="5">
        <f>ROUND(($I3+$N3+$O3+$P3+$Q3+$R3)*$G3,0)</f>
        <v/>
      </c>
      <c r="T3" s="10" t="n">
        <v>46280</v>
      </c>
      <c r="U3" s="5" t="inlineStr">
        <is>
          <t>Email Quote 12-Sep</t>
        </is>
      </c>
      <c r="V3" s="10" t="n">
        <v>46356</v>
      </c>
      <c r="W3" s="5">
        <f>IF(ISBLANK($V3),"",IF($V3&lt;TODAY(),1,0))</f>
        <v/>
      </c>
      <c r="X3" s="4" t="inlineStr">
        <is>
          <t>Approved</t>
        </is>
      </c>
      <c r="Y3" s="10" t="n">
        <v>46293</v>
      </c>
      <c r="Z3" s="10" t="inlineStr">
        <is>
          <t>USR-06</t>
        </is>
      </c>
    </row>
    <row r="4">
      <c r="A4" s="6" t="inlineStr">
        <is>
          <t>PRC-0002</t>
        </is>
      </c>
      <c r="B4" s="6" t="inlineStr">
        <is>
          <t>PRJ-2026-00125</t>
        </is>
      </c>
      <c r="C4" s="6" t="inlineStr">
        <is>
          <t>MAT-001544</t>
        </is>
      </c>
      <c r="D4" s="6" t="inlineStr">
        <is>
          <t>SUP-000089</t>
        </is>
      </c>
      <c r="E4" s="6" t="inlineStr">
        <is>
          <t>USR-06</t>
        </is>
      </c>
      <c r="F4" s="6" t="inlineStr">
        <is>
          <t>IRR</t>
        </is>
      </c>
      <c r="G4" s="7" t="n">
        <v>1</v>
      </c>
      <c r="H4" s="9" t="n">
        <v>2</v>
      </c>
      <c r="I4" s="7" t="n">
        <v>95000000</v>
      </c>
      <c r="J4" s="9" t="n">
        <v>1</v>
      </c>
      <c r="K4" s="15" t="n">
        <v>25</v>
      </c>
      <c r="L4" s="6" t="inlineStr">
        <is>
          <t>30 days</t>
        </is>
      </c>
      <c r="M4" s="6" t="inlineStr">
        <is>
          <t>CPT</t>
        </is>
      </c>
      <c r="N4" s="7" t="n">
        <v>1200000</v>
      </c>
      <c r="O4" s="7" t="n">
        <v>0</v>
      </c>
      <c r="P4" s="7" t="n">
        <v>0</v>
      </c>
      <c r="Q4" s="7" t="n">
        <v>0</v>
      </c>
      <c r="R4" s="7" t="n">
        <v>0</v>
      </c>
      <c r="S4" s="7">
        <f>ROUND(($I4+$N4+$O4+$P4+$Q4+$R4)*$G4,0)</f>
        <v/>
      </c>
      <c r="T4" s="11" t="n">
        <v>46280</v>
      </c>
      <c r="U4" s="7" t="inlineStr">
        <is>
          <t>Email Quote 14-Sep</t>
        </is>
      </c>
      <c r="V4" s="11" t="n">
        <v>46346</v>
      </c>
      <c r="W4" s="7">
        <f>IF(ISBLANK($V4),"",IF($V4&lt;TODAY(),1,0))</f>
        <v/>
      </c>
      <c r="X4" s="6" t="inlineStr">
        <is>
          <t>Approved</t>
        </is>
      </c>
      <c r="Y4" s="11" t="n">
        <v>46293</v>
      </c>
      <c r="Z4" s="11" t="inlineStr">
        <is>
          <t>USR-06</t>
        </is>
      </c>
    </row>
    <row r="5">
      <c r="A5" s="4" t="inlineStr">
        <is>
          <t>PRC-0003</t>
        </is>
      </c>
      <c r="B5" s="4" t="inlineStr">
        <is>
          <t>PRJ-2026-00125</t>
        </is>
      </c>
      <c r="C5" s="4" t="inlineStr">
        <is>
          <t>MAT-001546</t>
        </is>
      </c>
      <c r="D5" s="4" t="inlineStr">
        <is>
          <t>SUP-000087</t>
        </is>
      </c>
      <c r="E5" s="4" t="inlineStr">
        <is>
          <t>USR-06</t>
        </is>
      </c>
      <c r="F5" s="4" t="inlineStr">
        <is>
          <t>USD</t>
        </is>
      </c>
      <c r="G5" s="5" t="n">
        <v>500000</v>
      </c>
      <c r="H5" s="8" t="n">
        <v>2</v>
      </c>
      <c r="I5" s="5" t="n">
        <v>2500</v>
      </c>
      <c r="J5" s="8" t="n">
        <v>1</v>
      </c>
      <c r="K5" s="14" t="n">
        <v>45</v>
      </c>
      <c r="L5" s="4" t="inlineStr">
        <is>
          <t>45 days</t>
        </is>
      </c>
      <c r="M5" s="4" t="inlineStr">
        <is>
          <t>CPT</t>
        </is>
      </c>
      <c r="N5" s="5" t="n">
        <v>30</v>
      </c>
      <c r="O5" s="5" t="n">
        <v>0</v>
      </c>
      <c r="P5" s="5" t="n">
        <v>0</v>
      </c>
      <c r="Q5" s="5" t="n">
        <v>0</v>
      </c>
      <c r="R5" s="5" t="n">
        <v>0</v>
      </c>
      <c r="S5" s="5">
        <f>ROUND(($I5+$N5+$O5+$P5+$Q5+$R5)*$G5,0)</f>
        <v/>
      </c>
      <c r="T5" s="10" t="n">
        <v>46280</v>
      </c>
      <c r="U5" s="5" t="inlineStr">
        <is>
          <t>Signed Quote</t>
        </is>
      </c>
      <c r="V5" s="10" t="n">
        <v>46357</v>
      </c>
      <c r="W5" s="5">
        <f>IF(ISBLANK($V5),"",IF($V5&lt;TODAY(),1,0))</f>
        <v/>
      </c>
      <c r="X5" s="4" t="inlineStr">
        <is>
          <t>Approved</t>
        </is>
      </c>
      <c r="Y5" s="10" t="n">
        <v>46293</v>
      </c>
      <c r="Z5" s="10" t="inlineStr">
        <is>
          <t>USR-06</t>
        </is>
      </c>
    </row>
    <row r="6">
      <c r="A6" s="6" t="inlineStr">
        <is>
          <t>PRC-0004</t>
        </is>
      </c>
      <c r="B6" s="6" t="inlineStr">
        <is>
          <t>PRJ-2026-00125</t>
        </is>
      </c>
      <c r="C6" s="6" t="inlineStr">
        <is>
          <t>MAT-001548</t>
        </is>
      </c>
      <c r="D6" s="6" t="inlineStr">
        <is>
          <t>SUP-000086</t>
        </is>
      </c>
      <c r="E6" s="6" t="inlineStr">
        <is>
          <t>USR-06</t>
        </is>
      </c>
      <c r="F6" s="6" t="inlineStr">
        <is>
          <t>IRR</t>
        </is>
      </c>
      <c r="G6" s="7" t="n">
        <v>1</v>
      </c>
      <c r="H6" s="9" t="n">
        <v>2</v>
      </c>
      <c r="I6" s="7" t="n">
        <v>12000000</v>
      </c>
      <c r="J6" s="9" t="n">
        <v>1</v>
      </c>
      <c r="K6" s="15" t="n">
        <v>10</v>
      </c>
      <c r="L6" s="6" t="inlineStr">
        <is>
          <t>cash</t>
        </is>
      </c>
      <c r="M6" s="6" t="inlineStr">
        <is>
          <t>EXW</t>
        </is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>
        <f>ROUND(($I6+$N6+$O6+$P6+$Q6+$R6)*$G6,0)</f>
        <v/>
      </c>
      <c r="T6" s="11" t="n">
        <v>46280</v>
      </c>
      <c r="U6" s="7" t="inlineStr">
        <is>
          <t>Price list</t>
        </is>
      </c>
      <c r="V6" s="11" t="n">
        <v>46376</v>
      </c>
      <c r="W6" s="7">
        <f>IF(ISBLANK($V6),"",IF($V6&lt;TODAY(),1,0))</f>
        <v/>
      </c>
      <c r="X6" s="6" t="inlineStr">
        <is>
          <t>Approved</t>
        </is>
      </c>
      <c r="Y6" s="11" t="n">
        <v>46293</v>
      </c>
      <c r="Z6" s="11" t="inlineStr">
        <is>
          <t>USR-06</t>
        </is>
      </c>
    </row>
  </sheetData>
  <conditionalFormatting sqref="W3:W6">
    <cfRule type="cellIs" priority="1" operator="equal" dxfId="0">
      <formula>1</formula>
    </cfRule>
    <cfRule type="cellIs" priority="2" operator="equal" dxfId="1">
      <formula>0</formula>
    </cfRule>
  </conditionalFormatting>
  <dataValidations count="3">
    <dataValidation sqref="F3:F6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M3:M6" showDropDown="0" showInputMessage="0" showErrorMessage="1" allowBlank="1" errorTitle="Data Validation" error="مقدار خارج از فهرست مجاز است" promptTitle="Incoterm" prompt="انتخاب از فهرست مجاز برای Incoterm" type="list">
      <formula1>"EXW,FCA,CPT,CIP,DAP,DDP"</formula1>
    </dataValidation>
    <dataValidation sqref="X3:X6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13" customWidth="1" min="5" max="5"/>
    <col width="15" customWidth="1" min="6" max="6"/>
    <col width="11" customWidth="1" min="7" max="7"/>
    <col width="11" customWidth="1" min="8" max="8"/>
    <col width="13" customWidth="1" min="9" max="9"/>
    <col width="20" customWidth="1" min="10" max="10"/>
    <col width="22" customWidth="1" min="11" max="11"/>
    <col width="20" customWidth="1" min="12" max="12"/>
    <col width="21" customWidth="1" min="13" max="13"/>
    <col width="18" customWidth="1" min="14" max="14"/>
    <col width="20" customWidth="1" min="15" max="15"/>
    <col width="13" customWidth="1" min="16" max="16"/>
    <col width="11" customWidth="1" min="17" max="17"/>
    <col width="15" customWidth="1" min="18" max="18"/>
    <col width="12" customWidth="1" min="19" max="19"/>
    <col width="14" customWidth="1" min="20" max="20"/>
    <col width="14" customWidth="1" min="21" max="21"/>
    <col width="13" customWidth="1" min="22" max="22"/>
  </cols>
  <sheetData>
    <row r="1">
      <c r="A1" s="1" t="inlineStr">
        <is>
          <t>Purchase_Prices</t>
        </is>
      </c>
      <c r="B1" s="2" t="inlineStr">
        <is>
          <t>قیمت خرید با Revision؛ Expired_Flag=1 یعنی قیمت منقضی و از Costing کنار گذاشته می‌شود. Landed=(اجزا)×Fx.</t>
        </is>
      </c>
    </row>
    <row r="2">
      <c r="A2" s="3" t="inlineStr">
        <is>
          <t>System_ID</t>
        </is>
      </c>
      <c r="B2" s="3" t="inlineStr">
        <is>
          <t>Material_ID</t>
        </is>
      </c>
      <c r="C2" s="3" t="inlineStr">
        <is>
          <t>Supplier_ID</t>
        </is>
      </c>
      <c r="D2" s="3" t="inlineStr">
        <is>
          <t>Revision</t>
        </is>
      </c>
      <c r="E2" s="3" t="inlineStr">
        <is>
          <t>Price_Date</t>
        </is>
      </c>
      <c r="F2" s="3" t="inlineStr">
        <is>
          <t>Price_Source</t>
        </is>
      </c>
      <c r="G2" s="3" t="inlineStr">
        <is>
          <t>Currency</t>
        </is>
      </c>
      <c r="H2" s="3" t="inlineStr">
        <is>
          <t>Fx_Rate</t>
        </is>
      </c>
      <c r="I2" s="3" t="inlineStr">
        <is>
          <t>Unit_Price</t>
        </is>
      </c>
      <c r="J2" s="3" t="inlineStr">
        <is>
          <t>Freight_Per_Unit</t>
        </is>
      </c>
      <c r="K2" s="3" t="inlineStr">
        <is>
          <t>Insurance_Per_Unit</t>
        </is>
      </c>
      <c r="L2" s="3" t="inlineStr">
        <is>
          <t>Customs_Per_Unit</t>
        </is>
      </c>
      <c r="M2" s="3" t="inlineStr">
        <is>
          <t>Handling_Per_Unit</t>
        </is>
      </c>
      <c r="N2" s="3" t="inlineStr">
        <is>
          <t>Other_Per_Unit</t>
        </is>
      </c>
      <c r="O2" s="3" t="inlineStr">
        <is>
          <t>Landed_Cost_Unit</t>
        </is>
      </c>
      <c r="P2" s="3" t="inlineStr">
        <is>
          <t>Valid_From</t>
        </is>
      </c>
      <c r="Q2" s="3" t="inlineStr">
        <is>
          <t>Valid_To</t>
        </is>
      </c>
      <c r="R2" s="3" t="inlineStr">
        <is>
          <t>Expired_Flag</t>
        </is>
      </c>
      <c r="S2" s="3" t="inlineStr">
        <is>
          <t>Status_ID</t>
        </is>
      </c>
      <c r="T2" s="3" t="inlineStr">
        <is>
          <t>Approved_By</t>
        </is>
      </c>
      <c r="U2" s="3" t="inlineStr">
        <is>
          <t>Create_Date</t>
        </is>
      </c>
      <c r="V2" s="3" t="inlineStr">
        <is>
          <t>Created_By</t>
        </is>
      </c>
    </row>
    <row r="3">
      <c r="A3" s="4" t="inlineStr">
        <is>
          <t>PPR-000554</t>
        </is>
      </c>
      <c r="B3" s="4" t="inlineStr">
        <is>
          <t>MAT-001542</t>
        </is>
      </c>
      <c r="C3" s="4" t="inlineStr">
        <is>
          <t>SUP-000090</t>
        </is>
      </c>
      <c r="D3" s="4" t="inlineStr">
        <is>
          <t>R01</t>
        </is>
      </c>
      <c r="E3" s="10" t="n">
        <v>46280</v>
      </c>
      <c r="F3" s="5" t="inlineStr">
        <is>
          <t>Signed Quote</t>
        </is>
      </c>
      <c r="G3" s="4" t="inlineStr">
        <is>
          <t>USD</t>
        </is>
      </c>
      <c r="H3" s="5" t="n">
        <v>500000</v>
      </c>
      <c r="I3" s="5" t="n">
        <v>1.15</v>
      </c>
      <c r="J3" s="5" t="n">
        <v>0.05</v>
      </c>
      <c r="K3" s="5" t="n">
        <v>0</v>
      </c>
      <c r="L3" s="5" t="n">
        <v>0</v>
      </c>
      <c r="M3" s="5" t="n">
        <v>0</v>
      </c>
      <c r="N3" s="5" t="n">
        <v>0</v>
      </c>
      <c r="O3" s="5">
        <f>ROUND(($I3+$J3+$K3+$L3+$M3+$N3)*$H3,0)</f>
        <v/>
      </c>
      <c r="P3" s="10" t="n">
        <v>46280</v>
      </c>
      <c r="Q3" s="10" t="n">
        <v>46356</v>
      </c>
      <c r="R3" s="4">
        <f>IF(ISBLANK($Q3),1,IF($Q3&lt;TODAY(),1,0))</f>
        <v/>
      </c>
      <c r="S3" s="4" t="inlineStr">
        <is>
          <t>Approved</t>
        </is>
      </c>
      <c r="T3" s="4" t="inlineStr">
        <is>
          <t>USR-06</t>
        </is>
      </c>
      <c r="U3" s="10" t="n">
        <v>46280</v>
      </c>
      <c r="V3" s="10" t="inlineStr">
        <is>
          <t>USR-06</t>
        </is>
      </c>
    </row>
    <row r="4">
      <c r="A4" s="6" t="inlineStr">
        <is>
          <t>PPR-000555</t>
        </is>
      </c>
      <c r="B4" s="6" t="inlineStr">
        <is>
          <t>MAT-001543</t>
        </is>
      </c>
      <c r="C4" s="6" t="inlineStr">
        <is>
          <t>SUP-000090</t>
        </is>
      </c>
      <c r="D4" s="6" t="inlineStr">
        <is>
          <t>R01</t>
        </is>
      </c>
      <c r="E4" s="11" t="n">
        <v>46280</v>
      </c>
      <c r="F4" s="7" t="inlineStr">
        <is>
          <t>Signed Quote</t>
        </is>
      </c>
      <c r="G4" s="6" t="inlineStr">
        <is>
          <t>USD</t>
        </is>
      </c>
      <c r="H4" s="7" t="n">
        <v>500000</v>
      </c>
      <c r="I4" s="7" t="n">
        <v>3.2</v>
      </c>
      <c r="J4" s="7" t="n">
        <v>0.05</v>
      </c>
      <c r="K4" s="7" t="n">
        <v>0</v>
      </c>
      <c r="L4" s="7" t="n">
        <v>0</v>
      </c>
      <c r="M4" s="7" t="n">
        <v>0</v>
      </c>
      <c r="N4" s="7" t="n">
        <v>0</v>
      </c>
      <c r="O4" s="7">
        <f>ROUND(($I4+$J4+$K4+$L4+$M4+$N4)*$H4,0)</f>
        <v/>
      </c>
      <c r="P4" s="11" t="n">
        <v>46280</v>
      </c>
      <c r="Q4" s="11" t="n">
        <v>46356</v>
      </c>
      <c r="R4" s="6">
        <f>IF(ISBLANK($Q4),1,IF($Q4&lt;TODAY(),1,0))</f>
        <v/>
      </c>
      <c r="S4" s="6" t="inlineStr">
        <is>
          <t>Approved</t>
        </is>
      </c>
      <c r="T4" s="6" t="inlineStr">
        <is>
          <t>USR-06</t>
        </is>
      </c>
      <c r="U4" s="11" t="n">
        <v>46280</v>
      </c>
      <c r="V4" s="11" t="inlineStr">
        <is>
          <t>USR-06</t>
        </is>
      </c>
    </row>
    <row r="5">
      <c r="A5" s="4" t="inlineStr">
        <is>
          <t>PPR-000556</t>
        </is>
      </c>
      <c r="B5" s="4" t="inlineStr">
        <is>
          <t>MAT-001544</t>
        </is>
      </c>
      <c r="C5" s="4" t="inlineStr">
        <is>
          <t>SUP-000089</t>
        </is>
      </c>
      <c r="D5" s="4" t="inlineStr">
        <is>
          <t>R01</t>
        </is>
      </c>
      <c r="E5" s="10" t="n">
        <v>46280</v>
      </c>
      <c r="F5" s="5" t="inlineStr">
        <is>
          <t>Email Quote</t>
        </is>
      </c>
      <c r="G5" s="4" t="inlineStr">
        <is>
          <t>IRR</t>
        </is>
      </c>
      <c r="H5" s="5" t="n">
        <v>1</v>
      </c>
      <c r="I5" s="5" t="n">
        <v>95000000</v>
      </c>
      <c r="J5" s="5" t="n">
        <v>1200000</v>
      </c>
      <c r="K5" s="5" t="n">
        <v>0</v>
      </c>
      <c r="L5" s="5" t="n">
        <v>0</v>
      </c>
      <c r="M5" s="5" t="n">
        <v>0</v>
      </c>
      <c r="N5" s="5" t="n">
        <v>0</v>
      </c>
      <c r="O5" s="5">
        <f>ROUND(($I5+$J5+$K5+$L5+$M5+$N5)*$H5,0)</f>
        <v/>
      </c>
      <c r="P5" s="10" t="n">
        <v>46280</v>
      </c>
      <c r="Q5" s="10" t="n">
        <v>46346</v>
      </c>
      <c r="R5" s="4">
        <f>IF(ISBLANK($Q5),1,IF($Q5&lt;TODAY(),1,0))</f>
        <v/>
      </c>
      <c r="S5" s="4" t="inlineStr">
        <is>
          <t>Approved</t>
        </is>
      </c>
      <c r="T5" s="4" t="inlineStr">
        <is>
          <t>USR-06</t>
        </is>
      </c>
      <c r="U5" s="10" t="n">
        <v>46280</v>
      </c>
      <c r="V5" s="10" t="inlineStr">
        <is>
          <t>USR-06</t>
        </is>
      </c>
    </row>
    <row r="6">
      <c r="A6" s="6" t="inlineStr">
        <is>
          <t>PPR-000557</t>
        </is>
      </c>
      <c r="B6" s="6" t="inlineStr">
        <is>
          <t>MAT-001545</t>
        </is>
      </c>
      <c r="C6" s="6" t="inlineStr">
        <is>
          <t>SUP-000088</t>
        </is>
      </c>
      <c r="D6" s="6" t="inlineStr">
        <is>
          <t>R01</t>
        </is>
      </c>
      <c r="E6" s="11" t="n">
        <v>46280</v>
      </c>
      <c r="F6" s="7" t="inlineStr">
        <is>
          <t>Email Quote</t>
        </is>
      </c>
      <c r="G6" s="6" t="inlineStr">
        <is>
          <t>IRR</t>
        </is>
      </c>
      <c r="H6" s="7" t="n">
        <v>1</v>
      </c>
      <c r="I6" s="7" t="n">
        <v>185000000</v>
      </c>
      <c r="J6" s="7" t="n">
        <v>2000000</v>
      </c>
      <c r="K6" s="7" t="n">
        <v>0</v>
      </c>
      <c r="L6" s="7" t="n">
        <v>0</v>
      </c>
      <c r="M6" s="7" t="n">
        <v>0</v>
      </c>
      <c r="N6" s="7" t="n">
        <v>0</v>
      </c>
      <c r="O6" s="7">
        <f>ROUND(($I6+$J6+$K6+$L6+$M6+$N6)*$H6,0)</f>
        <v/>
      </c>
      <c r="P6" s="11" t="n">
        <v>46280</v>
      </c>
      <c r="Q6" s="11" t="n">
        <v>46356</v>
      </c>
      <c r="R6" s="6">
        <f>IF(ISBLANK($Q6),1,IF($Q6&lt;TODAY(),1,0))</f>
        <v/>
      </c>
      <c r="S6" s="6" t="inlineStr">
        <is>
          <t>Approved</t>
        </is>
      </c>
      <c r="T6" s="6" t="inlineStr">
        <is>
          <t>USR-06</t>
        </is>
      </c>
      <c r="U6" s="11" t="n">
        <v>46280</v>
      </c>
      <c r="V6" s="11" t="inlineStr">
        <is>
          <t>USR-06</t>
        </is>
      </c>
    </row>
    <row r="7">
      <c r="A7" s="4" t="inlineStr">
        <is>
          <t>PPR-000558</t>
        </is>
      </c>
      <c r="B7" s="4" t="inlineStr">
        <is>
          <t>MAT-001546</t>
        </is>
      </c>
      <c r="C7" s="4" t="inlineStr">
        <is>
          <t>SUP-000087</t>
        </is>
      </c>
      <c r="D7" s="4" t="inlineStr">
        <is>
          <t>R01</t>
        </is>
      </c>
      <c r="E7" s="10" t="n">
        <v>46280</v>
      </c>
      <c r="F7" s="5" t="inlineStr">
        <is>
          <t>Signed Quote</t>
        </is>
      </c>
      <c r="G7" s="4" t="inlineStr">
        <is>
          <t>USD</t>
        </is>
      </c>
      <c r="H7" s="5" t="n">
        <v>500000</v>
      </c>
      <c r="I7" s="5" t="n">
        <v>2500</v>
      </c>
      <c r="J7" s="5" t="n">
        <v>30</v>
      </c>
      <c r="K7" s="5" t="n">
        <v>0</v>
      </c>
      <c r="L7" s="5" t="n">
        <v>0</v>
      </c>
      <c r="M7" s="5" t="n">
        <v>0</v>
      </c>
      <c r="N7" s="5" t="n">
        <v>0</v>
      </c>
      <c r="O7" s="5">
        <f>ROUND(($I7+$J7+$K7+$L7+$M7+$N7)*$H7,0)</f>
        <v/>
      </c>
      <c r="P7" s="10" t="n">
        <v>46280</v>
      </c>
      <c r="Q7" s="10" t="n">
        <v>46357</v>
      </c>
      <c r="R7" s="4">
        <f>IF(ISBLANK($Q7),1,IF($Q7&lt;TODAY(),1,0))</f>
        <v/>
      </c>
      <c r="S7" s="4" t="inlineStr">
        <is>
          <t>Approved</t>
        </is>
      </c>
      <c r="T7" s="4" t="inlineStr">
        <is>
          <t>USR-06</t>
        </is>
      </c>
      <c r="U7" s="10" t="n">
        <v>46280</v>
      </c>
      <c r="V7" s="10" t="inlineStr">
        <is>
          <t>USR-06</t>
        </is>
      </c>
    </row>
    <row r="8">
      <c r="A8" s="6" t="inlineStr">
        <is>
          <t>PPR-000559</t>
        </is>
      </c>
      <c r="B8" s="6" t="inlineStr">
        <is>
          <t>MAT-001547</t>
        </is>
      </c>
      <c r="C8" s="6" t="inlineStr">
        <is>
          <t>SUP-000090</t>
        </is>
      </c>
      <c r="D8" s="6" t="inlineStr">
        <is>
          <t>R01</t>
        </is>
      </c>
      <c r="E8" s="11" t="n">
        <v>46280</v>
      </c>
      <c r="F8" s="7" t="inlineStr">
        <is>
          <t>Signed Quote</t>
        </is>
      </c>
      <c r="G8" s="6" t="inlineStr">
        <is>
          <t>IRR</t>
        </is>
      </c>
      <c r="H8" s="7" t="n">
        <v>1</v>
      </c>
      <c r="I8" s="7" t="n">
        <v>2200000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>
        <f>ROUND(($I8+$J8+$K8+$L8+$M8+$N8)*$H8,0)</f>
        <v/>
      </c>
      <c r="P8" s="11" t="n">
        <v>46280</v>
      </c>
      <c r="Q8" s="11" t="n">
        <v>46275</v>
      </c>
      <c r="R8" s="6">
        <f>IF(ISBLANK($Q8),1,IF($Q8&lt;TODAY(),1,0))</f>
        <v/>
      </c>
      <c r="S8" s="6" t="inlineStr">
        <is>
          <t>Expired</t>
        </is>
      </c>
      <c r="T8" s="6" t="inlineStr">
        <is>
          <t>USR-06</t>
        </is>
      </c>
      <c r="U8" s="11" t="n">
        <v>46280</v>
      </c>
      <c r="V8" s="11" t="inlineStr">
        <is>
          <t>USR-06</t>
        </is>
      </c>
    </row>
    <row r="9">
      <c r="A9" s="4" t="inlineStr">
        <is>
          <t>PPR-000560</t>
        </is>
      </c>
      <c r="B9" s="4" t="inlineStr">
        <is>
          <t>MAT-001547</t>
        </is>
      </c>
      <c r="C9" s="4" t="inlineStr">
        <is>
          <t>SUP-000090</t>
        </is>
      </c>
      <c r="D9" s="4" t="inlineStr">
        <is>
          <t>R02</t>
        </is>
      </c>
      <c r="E9" s="10" t="n">
        <v>46295</v>
      </c>
      <c r="F9" s="5" t="inlineStr">
        <is>
          <t>Revised Quote</t>
        </is>
      </c>
      <c r="G9" s="4" t="inlineStr">
        <is>
          <t>IRR</t>
        </is>
      </c>
      <c r="H9" s="5" t="n">
        <v>1</v>
      </c>
      <c r="I9" s="5" t="n">
        <v>2450000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>
        <f>ROUND(($I9+$J9+$K9+$L9+$M9+$N9)*$H9,0)</f>
        <v/>
      </c>
      <c r="P9" s="10" t="n">
        <v>46296</v>
      </c>
      <c r="Q9" s="10" t="n">
        <v>46357</v>
      </c>
      <c r="R9" s="4">
        <f>IF(ISBLANK($Q9),1,IF($Q9&lt;TODAY(),1,0))</f>
        <v/>
      </c>
      <c r="S9" s="4" t="inlineStr">
        <is>
          <t>Approved</t>
        </is>
      </c>
      <c r="T9" s="4" t="inlineStr">
        <is>
          <t>USR-06</t>
        </is>
      </c>
      <c r="U9" s="10" t="n">
        <v>46295</v>
      </c>
      <c r="V9" s="10" t="inlineStr">
        <is>
          <t>USR-06</t>
        </is>
      </c>
    </row>
    <row r="10">
      <c r="A10" s="6" t="inlineStr">
        <is>
          <t>PPR-000561</t>
        </is>
      </c>
      <c r="B10" s="6" t="inlineStr">
        <is>
          <t>MAT-001548</t>
        </is>
      </c>
      <c r="C10" s="6" t="inlineStr">
        <is>
          <t>SUP-000086</t>
        </is>
      </c>
      <c r="D10" s="6" t="inlineStr">
        <is>
          <t>R01</t>
        </is>
      </c>
      <c r="E10" s="11" t="n">
        <v>46280</v>
      </c>
      <c r="F10" s="7" t="inlineStr">
        <is>
          <t>Price list</t>
        </is>
      </c>
      <c r="G10" s="6" t="inlineStr">
        <is>
          <t>IRR</t>
        </is>
      </c>
      <c r="H10" s="7" t="n">
        <v>1</v>
      </c>
      <c r="I10" s="7" t="n">
        <v>12000000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>
        <f>ROUND(($I10+$J10+$K10+$L10+$M10+$N10)*$H10,0)</f>
        <v/>
      </c>
      <c r="P10" s="11" t="n">
        <v>46280</v>
      </c>
      <c r="Q10" s="11" t="n">
        <v>46376</v>
      </c>
      <c r="R10" s="6">
        <f>IF(ISBLANK($Q10),1,IF($Q10&lt;TODAY(),1,0))</f>
        <v/>
      </c>
      <c r="S10" s="6" t="inlineStr">
        <is>
          <t>Approved</t>
        </is>
      </c>
      <c r="T10" s="6" t="inlineStr">
        <is>
          <t>USR-06</t>
        </is>
      </c>
      <c r="U10" s="11" t="n">
        <v>46280</v>
      </c>
      <c r="V10" s="11" t="inlineStr">
        <is>
          <t>USR-06</t>
        </is>
      </c>
    </row>
  </sheetData>
  <conditionalFormatting sqref="R3:R10">
    <cfRule type="cellIs" priority="1" operator="equal" dxfId="0">
      <formula>1</formula>
    </cfRule>
    <cfRule type="cellIs" priority="2" operator="equal" dxfId="1">
      <formula>0</formula>
    </cfRule>
  </conditionalFormatting>
  <dataValidations count="2">
    <dataValidation sqref="G3:G10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S3:S10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4" customWidth="1" min="4" max="4"/>
    <col width="13" customWidth="1" min="5" max="5"/>
    <col width="14" customWidth="1" min="6" max="6"/>
    <col width="11" customWidth="1" min="7" max="7"/>
    <col width="12" customWidth="1" min="8" max="8"/>
    <col width="14" customWidth="1" min="9" max="9"/>
    <col width="11" customWidth="1" min="10" max="10"/>
    <col width="15" customWidth="1" min="11" max="11"/>
    <col width="16" customWidth="1" min="12" max="12"/>
    <col width="11" customWidth="1" min="13" max="13"/>
    <col width="11" customWidth="1" min="14" max="14"/>
    <col width="11" customWidth="1" min="15" max="15"/>
    <col width="18" customWidth="1" min="16" max="16"/>
    <col width="14" customWidth="1" min="17" max="17"/>
    <col width="12" customWidth="1" min="18" max="18"/>
    <col width="14" customWidth="1" min="19" max="19"/>
    <col width="13" customWidth="1" min="20" max="20"/>
  </cols>
  <sheetData>
    <row r="1">
      <c r="A1" s="1" t="inlineStr">
        <is>
          <t>Planning</t>
        </is>
      </c>
      <c r="B1" s="2" t="inlineStr">
        <is>
          <t>Required = Bom_Qty × (1+Scrap%) × Order_Qty. Order_Qty زنده از Order_Lines خوانده می‌شود (تغییر مقدار سفارش خودکار منتشر می‌شود).</t>
        </is>
      </c>
    </row>
    <row r="2">
      <c r="A2" s="3" t="inlineStr">
        <is>
          <t>System_ID</t>
        </is>
      </c>
      <c r="B2" s="3" t="inlineStr">
        <is>
          <t>Project_ID</t>
        </is>
      </c>
      <c r="C2" s="3" t="inlineStr">
        <is>
          <t>BOM_Revision_ID</t>
        </is>
      </c>
      <c r="D2" s="3" t="inlineStr">
        <is>
          <t>BOM_Line_ID</t>
        </is>
      </c>
      <c r="E2" s="3" t="inlineStr">
        <is>
          <t>Product_ID</t>
        </is>
      </c>
      <c r="F2" s="3" t="inlineStr">
        <is>
          <t>Material_ID</t>
        </is>
      </c>
      <c r="G2" s="3" t="inlineStr">
        <is>
          <t>Make_Buy</t>
        </is>
      </c>
      <c r="H2" s="3" t="inlineStr">
        <is>
          <t>Order_Qty</t>
        </is>
      </c>
      <c r="I2" s="3" t="inlineStr">
        <is>
          <t>Bom_Qty_Per</t>
        </is>
      </c>
      <c r="J2" s="3" t="inlineStr">
        <is>
          <t>Scrap_%</t>
        </is>
      </c>
      <c r="K2" s="3" t="inlineStr">
        <is>
          <t>Required_Qty</t>
        </is>
      </c>
      <c r="L2" s="3" t="inlineStr">
        <is>
          <t>Stock_On_Hand</t>
        </is>
      </c>
      <c r="M2" s="3" t="inlineStr">
        <is>
          <t>Reserved</t>
        </is>
      </c>
      <c r="N2" s="3" t="inlineStr">
        <is>
          <t>Deficit</t>
        </is>
      </c>
      <c r="O2" s="3" t="inlineStr">
        <is>
          <t>Buy_Qty</t>
        </is>
      </c>
      <c r="P2" s="3" t="inlineStr">
        <is>
          <t>Lead_Time_Days</t>
        </is>
      </c>
      <c r="Q2" s="3" t="inlineStr">
        <is>
          <t>Supply_Date</t>
        </is>
      </c>
      <c r="R2" s="3" t="inlineStr">
        <is>
          <t>Status_ID</t>
        </is>
      </c>
      <c r="S2" s="3" t="inlineStr">
        <is>
          <t>Create_Date</t>
        </is>
      </c>
      <c r="T2" s="3" t="inlineStr">
        <is>
          <t>Created_By</t>
        </is>
      </c>
    </row>
    <row r="3">
      <c r="A3" s="4" t="inlineStr">
        <is>
          <t>PLN-000001</t>
        </is>
      </c>
      <c r="B3" s="4" t="inlineStr">
        <is>
          <t>PRJ-2026-00125</t>
        </is>
      </c>
      <c r="C3" s="4" t="inlineStr">
        <is>
          <t>BOM-000215-R05</t>
        </is>
      </c>
      <c r="D3" s="4" t="inlineStr">
        <is>
          <t>BLI-000988</t>
        </is>
      </c>
      <c r="E3" s="4" t="inlineStr">
        <is>
          <t>PRD-000125</t>
        </is>
      </c>
      <c r="F3" s="4" t="inlineStr">
        <is>
          <t>MAT-001542</t>
        </is>
      </c>
      <c r="G3" s="4" t="inlineStr">
        <is>
          <t>Make</t>
        </is>
      </c>
      <c r="H3" s="8">
        <f>SUMIFS(Order_Lines!$E$3:$E$20,Order_Lines!$D$3:$D$20,$E3,Order_Lines!$B$3:$B$20,XLOOKUP($B3,Projects!$A$3:$A$10,Projects!$C$3:$C$10,0))</f>
        <v/>
      </c>
      <c r="I3" s="8" t="n">
        <v>180</v>
      </c>
      <c r="J3" s="16" t="n">
        <v>0.05</v>
      </c>
      <c r="K3" s="8">
        <f>ROUND($H3*$I3*(1+$J3),2)</f>
        <v/>
      </c>
      <c r="L3" s="12">
        <f>IFERROR(XLOOKUP($F3,Inventory!$B$3:$B$20,Inventory!$C$3:$C$20,0),0)</f>
        <v/>
      </c>
      <c r="M3" s="12">
        <f>IFERROR(XLOOKUP($F3,Inventory!$B$3:$B$20,Inventory!$D$3:$D$20,0),0)</f>
        <v/>
      </c>
      <c r="N3" s="4">
        <f>MAX($K3-($L3-$M3),0)</f>
        <v/>
      </c>
      <c r="O3" s="8">
        <f>$N3</f>
        <v/>
      </c>
      <c r="P3" s="14" t="n">
        <v>15</v>
      </c>
      <c r="Q3" s="10">
        <f>TODAY()+$P3</f>
        <v/>
      </c>
      <c r="R3" s="4" t="inlineStr">
        <is>
          <t>Approved</t>
        </is>
      </c>
      <c r="S3" s="10" t="n">
        <v>46296</v>
      </c>
      <c r="T3" s="10" t="inlineStr">
        <is>
          <t>USR-05</t>
        </is>
      </c>
    </row>
    <row r="4">
      <c r="A4" s="6" t="inlineStr">
        <is>
          <t>PLN-000002</t>
        </is>
      </c>
      <c r="B4" s="6" t="inlineStr">
        <is>
          <t>PRJ-2026-00125</t>
        </is>
      </c>
      <c r="C4" s="6" t="inlineStr">
        <is>
          <t>BOM-000215-R05</t>
        </is>
      </c>
      <c r="D4" s="6" t="inlineStr">
        <is>
          <t>BLI-000989</t>
        </is>
      </c>
      <c r="E4" s="6" t="inlineStr">
        <is>
          <t>PRD-000125</t>
        </is>
      </c>
      <c r="F4" s="6" t="inlineStr">
        <is>
          <t>MAT-001543</t>
        </is>
      </c>
      <c r="G4" s="6" t="inlineStr">
        <is>
          <t>Make</t>
        </is>
      </c>
      <c r="H4" s="9">
        <f>SUMIFS(Order_Lines!$E$3:$E$20,Order_Lines!$D$3:$D$20,$E4,Order_Lines!$B$3:$B$20,XLOOKUP($B4,Projects!$A$3:$A$10,Projects!$C$3:$C$10,0))</f>
        <v/>
      </c>
      <c r="I4" s="9" t="n">
        <v>55</v>
      </c>
      <c r="J4" s="17" t="n">
        <v>0.05</v>
      </c>
      <c r="K4" s="9">
        <f>ROUND($H4*$I4*(1+$J4),2)</f>
        <v/>
      </c>
      <c r="L4" s="13">
        <f>IFERROR(XLOOKUP($F4,Inventory!$B$3:$B$20,Inventory!$C$3:$C$20,0),0)</f>
        <v/>
      </c>
      <c r="M4" s="13">
        <f>IFERROR(XLOOKUP($F4,Inventory!$B$3:$B$20,Inventory!$D$3:$D$20,0),0)</f>
        <v/>
      </c>
      <c r="N4" s="6">
        <f>MAX($K4-($L4-$M4),0)</f>
        <v/>
      </c>
      <c r="O4" s="9">
        <f>$N4</f>
        <v/>
      </c>
      <c r="P4" s="15" t="n">
        <v>15</v>
      </c>
      <c r="Q4" s="11">
        <f>TODAY()+$P4</f>
        <v/>
      </c>
      <c r="R4" s="6" t="inlineStr">
        <is>
          <t>Approved</t>
        </is>
      </c>
      <c r="S4" s="11" t="n">
        <v>46296</v>
      </c>
      <c r="T4" s="11" t="inlineStr">
        <is>
          <t>USR-05</t>
        </is>
      </c>
    </row>
    <row r="5">
      <c r="A5" s="4" t="inlineStr">
        <is>
          <t>PLN-000003</t>
        </is>
      </c>
      <c r="B5" s="4" t="inlineStr">
        <is>
          <t>PRJ-2026-00125</t>
        </is>
      </c>
      <c r="C5" s="4" t="inlineStr">
        <is>
          <t>BOM-000215-R05</t>
        </is>
      </c>
      <c r="D5" s="4" t="inlineStr">
        <is>
          <t>BLI-000990</t>
        </is>
      </c>
      <c r="E5" s="4" t="inlineStr">
        <is>
          <t>PRD-000125</t>
        </is>
      </c>
      <c r="F5" s="4" t="inlineStr">
        <is>
          <t>MAT-001547</t>
        </is>
      </c>
      <c r="G5" s="4" t="inlineStr">
        <is>
          <t>Make</t>
        </is>
      </c>
      <c r="H5" s="8">
        <f>SUMIFS(Order_Lines!$E$3:$E$20,Order_Lines!$D$3:$D$20,$E5,Order_Lines!$B$3:$B$20,XLOOKUP($B5,Projects!$A$3:$A$10,Projects!$C$3:$C$10,0))</f>
        <v/>
      </c>
      <c r="I5" s="8" t="n">
        <v>22</v>
      </c>
      <c r="J5" s="16" t="n">
        <v>0.05</v>
      </c>
      <c r="K5" s="8">
        <f>ROUND($H5*$I5*(1+$J5),2)</f>
        <v/>
      </c>
      <c r="L5" s="12">
        <f>IFERROR(XLOOKUP($F5,Inventory!$B$3:$B$20,Inventory!$C$3:$C$20,0),0)</f>
        <v/>
      </c>
      <c r="M5" s="12">
        <f>IFERROR(XLOOKUP($F5,Inventory!$B$3:$B$20,Inventory!$D$3:$D$20,0),0)</f>
        <v/>
      </c>
      <c r="N5" s="4">
        <f>MAX($K5-($L5-$M5),0)</f>
        <v/>
      </c>
      <c r="O5" s="8">
        <f>$N5</f>
        <v/>
      </c>
      <c r="P5" s="14" t="n">
        <v>15</v>
      </c>
      <c r="Q5" s="10">
        <f>TODAY()+$P5</f>
        <v/>
      </c>
      <c r="R5" s="4" t="inlineStr">
        <is>
          <t>Approved</t>
        </is>
      </c>
      <c r="S5" s="10" t="n">
        <v>46296</v>
      </c>
      <c r="T5" s="10" t="inlineStr">
        <is>
          <t>USR-05</t>
        </is>
      </c>
    </row>
    <row r="6">
      <c r="A6" s="6" t="inlineStr">
        <is>
          <t>PLN-000004</t>
        </is>
      </c>
      <c r="B6" s="6" t="inlineStr">
        <is>
          <t>PRJ-2026-00125</t>
        </is>
      </c>
      <c r="C6" s="6" t="inlineStr">
        <is>
          <t>BOM-000215-R05</t>
        </is>
      </c>
      <c r="D6" s="6" t="inlineStr">
        <is>
          <t>BLI-000991</t>
        </is>
      </c>
      <c r="E6" s="6" t="inlineStr">
        <is>
          <t>PRD-000125</t>
        </is>
      </c>
      <c r="F6" s="6" t="inlineStr">
        <is>
          <t>MAT-001544</t>
        </is>
      </c>
      <c r="G6" s="6" t="inlineStr">
        <is>
          <t>Buy</t>
        </is>
      </c>
      <c r="H6" s="9">
        <f>SUMIFS(Order_Lines!$E$3:$E$20,Order_Lines!$D$3:$D$20,$E6,Order_Lines!$B$3:$B$20,XLOOKUP($B6,Projects!$A$3:$A$10,Projects!$C$3:$C$10,0))</f>
        <v/>
      </c>
      <c r="I6" s="9" t="n">
        <v>1</v>
      </c>
      <c r="J6" s="17" t="n">
        <v>0</v>
      </c>
      <c r="K6" s="9">
        <f>ROUND($H6*$I6*(1+$J6),2)</f>
        <v/>
      </c>
      <c r="L6" s="13">
        <f>IFERROR(XLOOKUP($F6,Inventory!$B$3:$B$20,Inventory!$C$3:$C$20,0),0)</f>
        <v/>
      </c>
      <c r="M6" s="13">
        <f>IFERROR(XLOOKUP($F6,Inventory!$B$3:$B$20,Inventory!$D$3:$D$20,0),0)</f>
        <v/>
      </c>
      <c r="N6" s="6">
        <f>MAX($K6-($L6-$M6),0)</f>
        <v/>
      </c>
      <c r="O6" s="9">
        <f>$N6</f>
        <v/>
      </c>
      <c r="P6" s="15" t="n">
        <v>15</v>
      </c>
      <c r="Q6" s="11">
        <f>TODAY()+$P6</f>
        <v/>
      </c>
      <c r="R6" s="6" t="inlineStr">
        <is>
          <t>Approved</t>
        </is>
      </c>
      <c r="S6" s="11" t="n">
        <v>46296</v>
      </c>
      <c r="T6" s="11" t="inlineStr">
        <is>
          <t>USR-05</t>
        </is>
      </c>
    </row>
    <row r="7">
      <c r="A7" s="4" t="inlineStr">
        <is>
          <t>PLN-000005</t>
        </is>
      </c>
      <c r="B7" s="4" t="inlineStr">
        <is>
          <t>PRJ-2026-00125</t>
        </is>
      </c>
      <c r="C7" s="4" t="inlineStr">
        <is>
          <t>BOM-000215-R05</t>
        </is>
      </c>
      <c r="D7" s="4" t="inlineStr">
        <is>
          <t>BLI-000992</t>
        </is>
      </c>
      <c r="E7" s="4" t="inlineStr">
        <is>
          <t>PRD-000125</t>
        </is>
      </c>
      <c r="F7" s="4" t="inlineStr">
        <is>
          <t>MAT-001545</t>
        </is>
      </c>
      <c r="G7" s="4" t="inlineStr">
        <is>
          <t>Buy</t>
        </is>
      </c>
      <c r="H7" s="8">
        <f>SUMIFS(Order_Lines!$E$3:$E$20,Order_Lines!$D$3:$D$20,$E7,Order_Lines!$B$3:$B$20,XLOOKUP($B7,Projects!$A$3:$A$10,Projects!$C$3:$C$10,0))</f>
        <v/>
      </c>
      <c r="I7" s="8" t="n">
        <v>1</v>
      </c>
      <c r="J7" s="16" t="n">
        <v>0</v>
      </c>
      <c r="K7" s="8">
        <f>ROUND($H7*$I7*(1+$J7),2)</f>
        <v/>
      </c>
      <c r="L7" s="12">
        <f>IFERROR(XLOOKUP($F7,Inventory!$B$3:$B$20,Inventory!$C$3:$C$20,0),0)</f>
        <v/>
      </c>
      <c r="M7" s="12">
        <f>IFERROR(XLOOKUP($F7,Inventory!$B$3:$B$20,Inventory!$D$3:$D$20,0),0)</f>
        <v/>
      </c>
      <c r="N7" s="4">
        <f>MAX($K7-($L7-$M7),0)</f>
        <v/>
      </c>
      <c r="O7" s="8">
        <f>$N7</f>
        <v/>
      </c>
      <c r="P7" s="14" t="n">
        <v>15</v>
      </c>
      <c r="Q7" s="10">
        <f>TODAY()+$P7</f>
        <v/>
      </c>
      <c r="R7" s="4" t="inlineStr">
        <is>
          <t>Approved</t>
        </is>
      </c>
      <c r="S7" s="10" t="n">
        <v>46296</v>
      </c>
      <c r="T7" s="10" t="inlineStr">
        <is>
          <t>USR-05</t>
        </is>
      </c>
    </row>
    <row r="8">
      <c r="A8" s="6" t="inlineStr">
        <is>
          <t>PLN-000006</t>
        </is>
      </c>
      <c r="B8" s="6" t="inlineStr">
        <is>
          <t>PRJ-2026-00125</t>
        </is>
      </c>
      <c r="C8" s="6" t="inlineStr">
        <is>
          <t>BOM-000215-R05</t>
        </is>
      </c>
      <c r="D8" s="6" t="inlineStr">
        <is>
          <t>BLI-000993</t>
        </is>
      </c>
      <c r="E8" s="6" t="inlineStr">
        <is>
          <t>PRD-000125</t>
        </is>
      </c>
      <c r="F8" s="6" t="inlineStr">
        <is>
          <t>MAT-001546</t>
        </is>
      </c>
      <c r="G8" s="6" t="inlineStr">
        <is>
          <t>Buy</t>
        </is>
      </c>
      <c r="H8" s="9">
        <f>SUMIFS(Order_Lines!$E$3:$E$20,Order_Lines!$D$3:$D$20,$E8,Order_Lines!$B$3:$B$20,XLOOKUP($B8,Projects!$A$3:$A$10,Projects!$C$3:$C$10,0))</f>
        <v/>
      </c>
      <c r="I8" s="9" t="n">
        <v>1</v>
      </c>
      <c r="J8" s="17" t="n">
        <v>0</v>
      </c>
      <c r="K8" s="9">
        <f>ROUND($H8*$I8*(1+$J8),2)</f>
        <v/>
      </c>
      <c r="L8" s="13">
        <f>IFERROR(XLOOKUP($F8,Inventory!$B$3:$B$20,Inventory!$C$3:$C$20,0),0)</f>
        <v/>
      </c>
      <c r="M8" s="13">
        <f>IFERROR(XLOOKUP($F8,Inventory!$B$3:$B$20,Inventory!$D$3:$D$20,0),0)</f>
        <v/>
      </c>
      <c r="N8" s="6">
        <f>MAX($K8-($L8-$M8),0)</f>
        <v/>
      </c>
      <c r="O8" s="9">
        <f>$N8</f>
        <v/>
      </c>
      <c r="P8" s="15" t="n">
        <v>15</v>
      </c>
      <c r="Q8" s="11">
        <f>TODAY()+$P8</f>
        <v/>
      </c>
      <c r="R8" s="6" t="inlineStr">
        <is>
          <t>Approved</t>
        </is>
      </c>
      <c r="S8" s="11" t="n">
        <v>46296</v>
      </c>
      <c r="T8" s="11" t="inlineStr">
        <is>
          <t>USR-05</t>
        </is>
      </c>
    </row>
    <row r="9">
      <c r="A9" s="4" t="inlineStr">
        <is>
          <t>PLN-000007</t>
        </is>
      </c>
      <c r="B9" s="4" t="inlineStr">
        <is>
          <t>PRJ-2026-00125</t>
        </is>
      </c>
      <c r="C9" s="4" t="inlineStr">
        <is>
          <t>BOM-000215-R05</t>
        </is>
      </c>
      <c r="D9" s="4" t="inlineStr">
        <is>
          <t>BLI-000994</t>
        </is>
      </c>
      <c r="E9" s="4" t="inlineStr">
        <is>
          <t>PRD-000125</t>
        </is>
      </c>
      <c r="F9" s="4" t="inlineStr">
        <is>
          <t>MAT-001548</t>
        </is>
      </c>
      <c r="G9" s="4" t="inlineStr">
        <is>
          <t>Buy</t>
        </is>
      </c>
      <c r="H9" s="8">
        <f>SUMIFS(Order_Lines!$E$3:$E$20,Order_Lines!$D$3:$D$20,$E9,Order_Lines!$B$3:$B$20,XLOOKUP($B9,Projects!$A$3:$A$10,Projects!$C$3:$C$10,0))</f>
        <v/>
      </c>
      <c r="I9" s="8" t="n">
        <v>1</v>
      </c>
      <c r="J9" s="16" t="n">
        <v>0</v>
      </c>
      <c r="K9" s="8">
        <f>ROUND($H9*$I9*(1+$J9),2)</f>
        <v/>
      </c>
      <c r="L9" s="12">
        <f>IFERROR(XLOOKUP($F9,Inventory!$B$3:$B$20,Inventory!$C$3:$C$20,0),0)</f>
        <v/>
      </c>
      <c r="M9" s="12">
        <f>IFERROR(XLOOKUP($F9,Inventory!$B$3:$B$20,Inventory!$D$3:$D$20,0),0)</f>
        <v/>
      </c>
      <c r="N9" s="4">
        <f>MAX($K9-($L9-$M9),0)</f>
        <v/>
      </c>
      <c r="O9" s="8">
        <f>$N9</f>
        <v/>
      </c>
      <c r="P9" s="14" t="n">
        <v>15</v>
      </c>
      <c r="Q9" s="10">
        <f>TODAY()+$P9</f>
        <v/>
      </c>
      <c r="R9" s="4" t="inlineStr">
        <is>
          <t>Approved</t>
        </is>
      </c>
      <c r="S9" s="10" t="n">
        <v>46296</v>
      </c>
      <c r="T9" s="10" t="inlineStr">
        <is>
          <t>USR-05</t>
        </is>
      </c>
    </row>
    <row r="10">
      <c r="A10" s="6" t="inlineStr">
        <is>
          <t>PLN-000008</t>
        </is>
      </c>
      <c r="B10" s="6" t="inlineStr">
        <is>
          <t>PRJ-2026-00125</t>
        </is>
      </c>
      <c r="C10" s="6" t="inlineStr">
        <is>
          <t>BOM-000216-R02</t>
        </is>
      </c>
      <c r="D10" s="6" t="inlineStr">
        <is>
          <t>BLI-000901</t>
        </is>
      </c>
      <c r="E10" s="6" t="inlineStr">
        <is>
          <t>PRD-000126</t>
        </is>
      </c>
      <c r="F10" s="6" t="inlineStr">
        <is>
          <t>MAT-001542</t>
        </is>
      </c>
      <c r="G10" s="6" t="inlineStr">
        <is>
          <t>Make</t>
        </is>
      </c>
      <c r="H10" s="9">
        <f>SUMIFS(Order_Lines!$E$3:$E$20,Order_Lines!$D$3:$D$20,$E10,Order_Lines!$B$3:$B$20,XLOOKUP($B10,Projects!$A$3:$A$10,Projects!$C$3:$C$10,0))</f>
        <v/>
      </c>
      <c r="I10" s="9" t="n">
        <v>95</v>
      </c>
      <c r="J10" s="17" t="n">
        <v>0.05</v>
      </c>
      <c r="K10" s="9">
        <f>ROUND($H10*$I10*(1+$J10),2)</f>
        <v/>
      </c>
      <c r="L10" s="13">
        <f>IFERROR(XLOOKUP($F10,Inventory!$B$3:$B$20,Inventory!$C$3:$C$20,0),0)</f>
        <v/>
      </c>
      <c r="M10" s="13">
        <f>IFERROR(XLOOKUP($F10,Inventory!$B$3:$B$20,Inventory!$D$3:$D$20,0),0)</f>
        <v/>
      </c>
      <c r="N10" s="6">
        <f>MAX($K10-($L10-$M10),0)</f>
        <v/>
      </c>
      <c r="O10" s="9">
        <f>$N10</f>
        <v/>
      </c>
      <c r="P10" s="15" t="n">
        <v>15</v>
      </c>
      <c r="Q10" s="11">
        <f>TODAY()+$P10</f>
        <v/>
      </c>
      <c r="R10" s="6" t="inlineStr">
        <is>
          <t>Approved</t>
        </is>
      </c>
      <c r="S10" s="11" t="n">
        <v>46296</v>
      </c>
      <c r="T10" s="11" t="inlineStr">
        <is>
          <t>USR-05</t>
        </is>
      </c>
    </row>
    <row r="11">
      <c r="A11" s="4" t="inlineStr">
        <is>
          <t>PLN-000009</t>
        </is>
      </c>
      <c r="B11" s="4" t="inlineStr">
        <is>
          <t>PRJ-2026-00125</t>
        </is>
      </c>
      <c r="C11" s="4" t="inlineStr">
        <is>
          <t>BOM-000216-R02</t>
        </is>
      </c>
      <c r="D11" s="4" t="inlineStr">
        <is>
          <t>BLI-000902</t>
        </is>
      </c>
      <c r="E11" s="4" t="inlineStr">
        <is>
          <t>PRD-000126</t>
        </is>
      </c>
      <c r="F11" s="4" t="inlineStr">
        <is>
          <t>MAT-001547</t>
        </is>
      </c>
      <c r="G11" s="4" t="inlineStr">
        <is>
          <t>Make</t>
        </is>
      </c>
      <c r="H11" s="8">
        <f>SUMIFS(Order_Lines!$E$3:$E$20,Order_Lines!$D$3:$D$20,$E11,Order_Lines!$B$3:$B$20,XLOOKUP($B11,Projects!$A$3:$A$10,Projects!$C$3:$C$10,0))</f>
        <v/>
      </c>
      <c r="I11" s="8" t="n">
        <v>14</v>
      </c>
      <c r="J11" s="16" t="n">
        <v>0.05</v>
      </c>
      <c r="K11" s="8">
        <f>ROUND($H11*$I11*(1+$J11),2)</f>
        <v/>
      </c>
      <c r="L11" s="12">
        <f>IFERROR(XLOOKUP($F11,Inventory!$B$3:$B$20,Inventory!$C$3:$C$20,0),0)</f>
        <v/>
      </c>
      <c r="M11" s="12">
        <f>IFERROR(XLOOKUP($F11,Inventory!$B$3:$B$20,Inventory!$D$3:$D$20,0),0)</f>
        <v/>
      </c>
      <c r="N11" s="4">
        <f>MAX($K11-($L11-$M11),0)</f>
        <v/>
      </c>
      <c r="O11" s="8">
        <f>$N11</f>
        <v/>
      </c>
      <c r="P11" s="14" t="n">
        <v>15</v>
      </c>
      <c r="Q11" s="10">
        <f>TODAY()+$P11</f>
        <v/>
      </c>
      <c r="R11" s="4" t="inlineStr">
        <is>
          <t>Approved</t>
        </is>
      </c>
      <c r="S11" s="10" t="n">
        <v>46296</v>
      </c>
      <c r="T11" s="10" t="inlineStr">
        <is>
          <t>USR-05</t>
        </is>
      </c>
    </row>
    <row r="12">
      <c r="A12" s="6" t="inlineStr">
        <is>
          <t>PLN-000010</t>
        </is>
      </c>
      <c r="B12" s="6" t="inlineStr">
        <is>
          <t>PRJ-2026-00125</t>
        </is>
      </c>
      <c r="C12" s="6" t="inlineStr">
        <is>
          <t>BOM-000216-R02</t>
        </is>
      </c>
      <c r="D12" s="6" t="inlineStr">
        <is>
          <t>BLI-000903</t>
        </is>
      </c>
      <c r="E12" s="6" t="inlineStr">
        <is>
          <t>PRD-000126</t>
        </is>
      </c>
      <c r="F12" s="6" t="inlineStr">
        <is>
          <t>MAT-001544</t>
        </is>
      </c>
      <c r="G12" s="6" t="inlineStr">
        <is>
          <t>Buy</t>
        </is>
      </c>
      <c r="H12" s="9">
        <f>SUMIFS(Order_Lines!$E$3:$E$20,Order_Lines!$D$3:$D$20,$E12,Order_Lines!$B$3:$B$20,XLOOKUP($B12,Projects!$A$3:$A$10,Projects!$C$3:$C$10,0))</f>
        <v/>
      </c>
      <c r="I12" s="9" t="n">
        <v>1</v>
      </c>
      <c r="J12" s="17" t="n">
        <v>0</v>
      </c>
      <c r="K12" s="9">
        <f>ROUND($H12*$I12*(1+$J12),2)</f>
        <v/>
      </c>
      <c r="L12" s="13">
        <f>IFERROR(XLOOKUP($F12,Inventory!$B$3:$B$20,Inventory!$C$3:$C$20,0),0)</f>
        <v/>
      </c>
      <c r="M12" s="13">
        <f>IFERROR(XLOOKUP($F12,Inventory!$B$3:$B$20,Inventory!$D$3:$D$20,0),0)</f>
        <v/>
      </c>
      <c r="N12" s="6">
        <f>MAX($K12-($L12-$M12),0)</f>
        <v/>
      </c>
      <c r="O12" s="9">
        <f>$N12</f>
        <v/>
      </c>
      <c r="P12" s="15" t="n">
        <v>15</v>
      </c>
      <c r="Q12" s="11">
        <f>TODAY()+$P12</f>
        <v/>
      </c>
      <c r="R12" s="6" t="inlineStr">
        <is>
          <t>Approved</t>
        </is>
      </c>
      <c r="S12" s="11" t="n">
        <v>46296</v>
      </c>
      <c r="T12" s="11" t="inlineStr">
        <is>
          <t>USR-05</t>
        </is>
      </c>
    </row>
    <row r="13">
      <c r="A13" s="4" t="inlineStr">
        <is>
          <t>PLN-000011</t>
        </is>
      </c>
      <c r="B13" s="4" t="inlineStr">
        <is>
          <t>PRJ-2026-00125</t>
        </is>
      </c>
      <c r="C13" s="4" t="inlineStr">
        <is>
          <t>BOM-000216-R02</t>
        </is>
      </c>
      <c r="D13" s="4" t="inlineStr">
        <is>
          <t>BLI-000904</t>
        </is>
      </c>
      <c r="E13" s="4" t="inlineStr">
        <is>
          <t>PRD-000126</t>
        </is>
      </c>
      <c r="F13" s="4" t="inlineStr">
        <is>
          <t>MAT-001545</t>
        </is>
      </c>
      <c r="G13" s="4" t="inlineStr">
        <is>
          <t>Buy</t>
        </is>
      </c>
      <c r="H13" s="8">
        <f>SUMIFS(Order_Lines!$E$3:$E$20,Order_Lines!$D$3:$D$20,$E13,Order_Lines!$B$3:$B$20,XLOOKUP($B13,Projects!$A$3:$A$10,Projects!$C$3:$C$10,0))</f>
        <v/>
      </c>
      <c r="I13" s="8" t="n">
        <v>1</v>
      </c>
      <c r="J13" s="16" t="n">
        <v>0</v>
      </c>
      <c r="K13" s="8">
        <f>ROUND($H13*$I13*(1+$J13),2)</f>
        <v/>
      </c>
      <c r="L13" s="12">
        <f>IFERROR(XLOOKUP($F13,Inventory!$B$3:$B$20,Inventory!$C$3:$C$20,0),0)</f>
        <v/>
      </c>
      <c r="M13" s="12">
        <f>IFERROR(XLOOKUP($F13,Inventory!$B$3:$B$20,Inventory!$D$3:$D$20,0),0)</f>
        <v/>
      </c>
      <c r="N13" s="4">
        <f>MAX($K13-($L13-$M13),0)</f>
        <v/>
      </c>
      <c r="O13" s="8">
        <f>$N13</f>
        <v/>
      </c>
      <c r="P13" s="14" t="n">
        <v>15</v>
      </c>
      <c r="Q13" s="10">
        <f>TODAY()+$P13</f>
        <v/>
      </c>
      <c r="R13" s="4" t="inlineStr">
        <is>
          <t>Approved</t>
        </is>
      </c>
      <c r="S13" s="10" t="n">
        <v>46296</v>
      </c>
      <c r="T13" s="10" t="inlineStr">
        <is>
          <t>USR-05</t>
        </is>
      </c>
    </row>
    <row r="14">
      <c r="A14" s="6" t="inlineStr">
        <is>
          <t>PLN-000012</t>
        </is>
      </c>
      <c r="B14" s="6" t="inlineStr">
        <is>
          <t>PRJ-2026-00125</t>
        </is>
      </c>
      <c r="C14" s="6" t="inlineStr">
        <is>
          <t>BOM-000216-R02</t>
        </is>
      </c>
      <c r="D14" s="6" t="inlineStr">
        <is>
          <t>BLI-000905</t>
        </is>
      </c>
      <c r="E14" s="6" t="inlineStr">
        <is>
          <t>PRD-000126</t>
        </is>
      </c>
      <c r="F14" s="6" t="inlineStr">
        <is>
          <t>MAT-001546</t>
        </is>
      </c>
      <c r="G14" s="6" t="inlineStr">
        <is>
          <t>Buy</t>
        </is>
      </c>
      <c r="H14" s="9">
        <f>SUMIFS(Order_Lines!$E$3:$E$20,Order_Lines!$D$3:$D$20,$E14,Order_Lines!$B$3:$B$20,XLOOKUP($B14,Projects!$A$3:$A$10,Projects!$C$3:$C$10,0))</f>
        <v/>
      </c>
      <c r="I14" s="9" t="n">
        <v>1</v>
      </c>
      <c r="J14" s="17" t="n">
        <v>0</v>
      </c>
      <c r="K14" s="9">
        <f>ROUND($H14*$I14*(1+$J14),2)</f>
        <v/>
      </c>
      <c r="L14" s="13">
        <f>IFERROR(XLOOKUP($F14,Inventory!$B$3:$B$20,Inventory!$C$3:$C$20,0),0)</f>
        <v/>
      </c>
      <c r="M14" s="13">
        <f>IFERROR(XLOOKUP($F14,Inventory!$B$3:$B$20,Inventory!$D$3:$D$20,0),0)</f>
        <v/>
      </c>
      <c r="N14" s="6">
        <f>MAX($K14-($L14-$M14),0)</f>
        <v/>
      </c>
      <c r="O14" s="9">
        <f>$N14</f>
        <v/>
      </c>
      <c r="P14" s="15" t="n">
        <v>15</v>
      </c>
      <c r="Q14" s="11">
        <f>TODAY()+$P14</f>
        <v/>
      </c>
      <c r="R14" s="6" t="inlineStr">
        <is>
          <t>Approved</t>
        </is>
      </c>
      <c r="S14" s="11" t="n">
        <v>46296</v>
      </c>
      <c r="T14" s="11" t="inlineStr">
        <is>
          <t>USR-05</t>
        </is>
      </c>
    </row>
    <row r="15">
      <c r="A15" s="4" t="inlineStr">
        <is>
          <t>PLN-000013</t>
        </is>
      </c>
      <c r="B15" s="4" t="inlineStr">
        <is>
          <t>PRJ-2026-00125</t>
        </is>
      </c>
      <c r="C15" s="4" t="inlineStr">
        <is>
          <t>BOM-000216-R02</t>
        </is>
      </c>
      <c r="D15" s="4" t="inlineStr">
        <is>
          <t>BLI-000906</t>
        </is>
      </c>
      <c r="E15" s="4" t="inlineStr">
        <is>
          <t>PRD-000126</t>
        </is>
      </c>
      <c r="F15" s="4" t="inlineStr">
        <is>
          <t>MAT-001548</t>
        </is>
      </c>
      <c r="G15" s="4" t="inlineStr">
        <is>
          <t>Buy</t>
        </is>
      </c>
      <c r="H15" s="8">
        <f>SUMIFS(Order_Lines!$E$3:$E$20,Order_Lines!$D$3:$D$20,$E15,Order_Lines!$B$3:$B$20,XLOOKUP($B15,Projects!$A$3:$A$10,Projects!$C$3:$C$10,0))</f>
        <v/>
      </c>
      <c r="I15" s="8" t="n">
        <v>1</v>
      </c>
      <c r="J15" s="16" t="n">
        <v>0</v>
      </c>
      <c r="K15" s="8">
        <f>ROUND($H15*$I15*(1+$J15),2)</f>
        <v/>
      </c>
      <c r="L15" s="12">
        <f>IFERROR(XLOOKUP($F15,Inventory!$B$3:$B$20,Inventory!$C$3:$C$20,0),0)</f>
        <v/>
      </c>
      <c r="M15" s="12">
        <f>IFERROR(XLOOKUP($F15,Inventory!$B$3:$B$20,Inventory!$D$3:$D$20,0),0)</f>
        <v/>
      </c>
      <c r="N15" s="4">
        <f>MAX($K15-($L15-$M15),0)</f>
        <v/>
      </c>
      <c r="O15" s="8">
        <f>$N15</f>
        <v/>
      </c>
      <c r="P15" s="14" t="n">
        <v>15</v>
      </c>
      <c r="Q15" s="10">
        <f>TODAY()+$P15</f>
        <v/>
      </c>
      <c r="R15" s="4" t="inlineStr">
        <is>
          <t>Approved</t>
        </is>
      </c>
      <c r="S15" s="10" t="n">
        <v>46296</v>
      </c>
      <c r="T15" s="10" t="inlineStr">
        <is>
          <t>USR-05</t>
        </is>
      </c>
    </row>
  </sheetData>
  <dataValidations count="2">
    <dataValidation sqref="G3:G15" showDropDown="0" showInputMessage="0" showErrorMessage="1" allowBlank="1" errorTitle="Data Validation" error="مقدار خارج از فهرست مجاز است" promptTitle="Make_Buy" prompt="انتخاب از فهرست مجاز برای Make_Buy" type="list">
      <formula1>"Make,Buy"</formula1>
    </dataValidation>
    <dataValidation sqref="R3:R15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3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3" customWidth="1" min="10" max="10"/>
    <col width="15" customWidth="1" min="11" max="11"/>
    <col width="14" customWidth="1" min="12" max="12"/>
    <col width="13" customWidth="1" min="13" max="13"/>
  </cols>
  <sheetData>
    <row r="1">
      <c r="A1" s="1" t="inlineStr">
        <is>
          <t>Schedule</t>
        </is>
      </c>
      <c r="B1" s="2" t="inlineStr">
        <is>
          <t>زمان‌بندی فعالیت‌ها؛ Duration = End - Start + 1 و Delay برای فعالیت‌های معوق محاسبه می‌شود.</t>
        </is>
      </c>
    </row>
    <row r="2">
      <c r="A2" s="3" t="inlineStr">
        <is>
          <t>System_ID</t>
        </is>
      </c>
      <c r="B2" s="3" t="inlineStr">
        <is>
          <t>Project_ID</t>
        </is>
      </c>
      <c r="C2" s="3" t="inlineStr">
        <is>
          <t>Activity</t>
        </is>
      </c>
      <c r="D2" s="3" t="inlineStr">
        <is>
          <t>Start_Date</t>
        </is>
      </c>
      <c r="E2" s="3" t="inlineStr">
        <is>
          <t>End_Date</t>
        </is>
      </c>
      <c r="F2" s="3" t="inlineStr">
        <is>
          <t>Duration</t>
        </is>
      </c>
      <c r="G2" s="3" t="inlineStr">
        <is>
          <t>Responsible</t>
        </is>
      </c>
      <c r="H2" s="3" t="inlineStr">
        <is>
          <t>Dependency</t>
        </is>
      </c>
      <c r="I2" s="3" t="inlineStr">
        <is>
          <t>Status_ID</t>
        </is>
      </c>
      <c r="J2" s="3" t="inlineStr">
        <is>
          <t>Delay_Days</t>
        </is>
      </c>
      <c r="K2" s="3" t="inlineStr">
        <is>
          <t>Delay_Reason</t>
        </is>
      </c>
      <c r="L2" s="3" t="inlineStr">
        <is>
          <t>Create_Date</t>
        </is>
      </c>
      <c r="M2" s="3" t="inlineStr">
        <is>
          <t>Created_By</t>
        </is>
      </c>
    </row>
    <row r="3">
      <c r="A3" s="4" t="inlineStr">
        <is>
          <t>SCH-000256</t>
        </is>
      </c>
      <c r="B3" s="4" t="inlineStr">
        <is>
          <t>PRJ-2026-00125</t>
        </is>
      </c>
      <c r="C3" s="4" t="inlineStr">
        <is>
          <t>Engineering</t>
        </is>
      </c>
      <c r="D3" s="10" t="n">
        <v>46286</v>
      </c>
      <c r="E3" s="10" t="n">
        <v>46295</v>
      </c>
      <c r="F3" s="4">
        <f>IF(ISBLANK($E3),0,$E3-$D3+1)</f>
        <v/>
      </c>
      <c r="G3" s="4" t="inlineStr">
        <is>
          <t>USR-04</t>
        </is>
      </c>
      <c r="H3" s="4" t="inlineStr"/>
      <c r="I3" s="4" t="inlineStr">
        <is>
          <t>Done</t>
        </is>
      </c>
      <c r="J3" s="14">
        <f>IF(ISBLANK($E3),0,IF($I3="Done",0,IF(AND($I3&lt;&gt;"Done",TODAY()&gt;$D3),TODAY()-$D3,0)))</f>
        <v/>
      </c>
      <c r="K3" s="4" t="inlineStr"/>
      <c r="L3" s="10" t="n">
        <v>46293</v>
      </c>
      <c r="M3" s="10" t="inlineStr">
        <is>
          <t>USR-05</t>
        </is>
      </c>
    </row>
    <row r="4">
      <c r="A4" s="6" t="inlineStr">
        <is>
          <t>SCH-000257</t>
        </is>
      </c>
      <c r="B4" s="6" t="inlineStr">
        <is>
          <t>PRJ-2026-00125</t>
        </is>
      </c>
      <c r="C4" s="6" t="inlineStr">
        <is>
          <t>BOM Release</t>
        </is>
      </c>
      <c r="D4" s="11" t="n">
        <v>46293</v>
      </c>
      <c r="E4" s="11" t="n">
        <v>46295</v>
      </c>
      <c r="F4" s="6">
        <f>IF(ISBLANK($E4),0,$E4-$D4+1)</f>
        <v/>
      </c>
      <c r="G4" s="6" t="inlineStr">
        <is>
          <t>USR-04</t>
        </is>
      </c>
      <c r="H4" s="6" t="inlineStr">
        <is>
          <t>Engineering</t>
        </is>
      </c>
      <c r="I4" s="6" t="inlineStr">
        <is>
          <t>Done</t>
        </is>
      </c>
      <c r="J4" s="15">
        <f>IF(ISBLANK($E4),0,IF($I4="Done",0,IF(AND($I4&lt;&gt;"Done",TODAY()&gt;$D4),TODAY()-$D4,0)))</f>
        <v/>
      </c>
      <c r="K4" s="6" t="inlineStr"/>
      <c r="L4" s="11" t="n">
        <v>46293</v>
      </c>
      <c r="M4" s="11" t="inlineStr">
        <is>
          <t>USR-05</t>
        </is>
      </c>
    </row>
    <row r="5">
      <c r="A5" s="4" t="inlineStr">
        <is>
          <t>SCH-000258</t>
        </is>
      </c>
      <c r="B5" s="4" t="inlineStr">
        <is>
          <t>PRJ-2026-00125</t>
        </is>
      </c>
      <c r="C5" s="4" t="inlineStr">
        <is>
          <t>Procurement</t>
        </is>
      </c>
      <c r="D5" s="10" t="n">
        <v>46296</v>
      </c>
      <c r="E5" s="10" t="n">
        <v>46315</v>
      </c>
      <c r="F5" s="4">
        <f>IF(ISBLANK($E5),0,$E5-$D5+1)</f>
        <v/>
      </c>
      <c r="G5" s="4" t="inlineStr">
        <is>
          <t>USR-06</t>
        </is>
      </c>
      <c r="H5" s="4" t="inlineStr">
        <is>
          <t>BOM Release</t>
        </is>
      </c>
      <c r="I5" s="4" t="inlineStr">
        <is>
          <t>In Progress</t>
        </is>
      </c>
      <c r="J5" s="14">
        <f>IF(ISBLANK($E5),0,IF($I5="Done",0,IF(AND($I5&lt;&gt;"Done",TODAY()&gt;$D5),TODAY()-$D5,0)))</f>
        <v/>
      </c>
      <c r="K5" s="4" t="inlineStr"/>
      <c r="L5" s="10" t="n">
        <v>46293</v>
      </c>
      <c r="M5" s="10" t="inlineStr">
        <is>
          <t>USR-05</t>
        </is>
      </c>
    </row>
    <row r="6">
      <c r="A6" s="6" t="inlineStr">
        <is>
          <t>SCH-000259</t>
        </is>
      </c>
      <c r="B6" s="6" t="inlineStr">
        <is>
          <t>PRJ-2026-00125</t>
        </is>
      </c>
      <c r="C6" s="6" t="inlineStr">
        <is>
          <t>Supplier Confirmation</t>
        </is>
      </c>
      <c r="D6" s="11" t="n">
        <v>46300</v>
      </c>
      <c r="E6" s="11" t="n">
        <v>46315</v>
      </c>
      <c r="F6" s="6">
        <f>IF(ISBLANK($E6),0,$E6-$D6+1)</f>
        <v/>
      </c>
      <c r="G6" s="6" t="inlineStr">
        <is>
          <t>USR-06</t>
        </is>
      </c>
      <c r="H6" s="6" t="inlineStr">
        <is>
          <t>Procurement</t>
        </is>
      </c>
      <c r="I6" s="6" t="inlineStr">
        <is>
          <t>In Progress</t>
        </is>
      </c>
      <c r="J6" s="15">
        <f>IF(ISBLANK($E6),0,IF($I6="Done",0,IF(AND($I6&lt;&gt;"Done",TODAY()&gt;$D6),TODAY()-$D6,0)))</f>
        <v/>
      </c>
      <c r="K6" s="6" t="inlineStr"/>
      <c r="L6" s="11" t="n">
        <v>46293</v>
      </c>
      <c r="M6" s="11" t="inlineStr">
        <is>
          <t>USR-05</t>
        </is>
      </c>
    </row>
    <row r="7">
      <c r="A7" s="4" t="inlineStr">
        <is>
          <t>SCH-000260</t>
        </is>
      </c>
      <c r="B7" s="4" t="inlineStr">
        <is>
          <t>PRJ-2026-00125</t>
        </is>
      </c>
      <c r="C7" s="4" t="inlineStr">
        <is>
          <t>Material Arrival</t>
        </is>
      </c>
      <c r="D7" s="10" t="n">
        <v>46327</v>
      </c>
      <c r="E7" s="10" t="n">
        <v>46341</v>
      </c>
      <c r="F7" s="4">
        <f>IF(ISBLANK($E7),0,$E7-$D7+1)</f>
        <v/>
      </c>
      <c r="G7" s="4" t="inlineStr">
        <is>
          <t>USR-06</t>
        </is>
      </c>
      <c r="H7" s="4" t="inlineStr">
        <is>
          <t>Supplier Confirmation</t>
        </is>
      </c>
      <c r="I7" s="4" t="inlineStr">
        <is>
          <t>Not Started</t>
        </is>
      </c>
      <c r="J7" s="14">
        <f>IF(ISBLANK($E7),0,IF($I7="Done",0,IF(AND($I7&lt;&gt;"Done",TODAY()&gt;$D7),TODAY()-$D7,0)))</f>
        <v/>
      </c>
      <c r="K7" s="4" t="inlineStr"/>
      <c r="L7" s="10" t="n">
        <v>46293</v>
      </c>
      <c r="M7" s="10" t="inlineStr">
        <is>
          <t>USR-05</t>
        </is>
      </c>
    </row>
    <row r="8">
      <c r="A8" s="6" t="inlineStr">
        <is>
          <t>SCH-000261</t>
        </is>
      </c>
      <c r="B8" s="6" t="inlineStr">
        <is>
          <t>PRJ-2026-00125</t>
        </is>
      </c>
      <c r="C8" s="6" t="inlineStr">
        <is>
          <t>Production Planning</t>
        </is>
      </c>
      <c r="D8" s="11" t="n">
        <v>46336</v>
      </c>
      <c r="E8" s="11" t="n">
        <v>46346</v>
      </c>
      <c r="F8" s="6">
        <f>IF(ISBLANK($E8),0,$E8-$D8+1)</f>
        <v/>
      </c>
      <c r="G8" s="6" t="inlineStr">
        <is>
          <t>USR-05</t>
        </is>
      </c>
      <c r="H8" s="6" t="inlineStr">
        <is>
          <t>Material Arrival</t>
        </is>
      </c>
      <c r="I8" s="6" t="inlineStr">
        <is>
          <t>Not Started</t>
        </is>
      </c>
      <c r="J8" s="15">
        <f>IF(ISBLANK($E8),0,IF($I8="Done",0,IF(AND($I8&lt;&gt;"Done",TODAY()&gt;$D8),TODAY()-$D8,0)))</f>
        <v/>
      </c>
      <c r="K8" s="6" t="inlineStr"/>
      <c r="L8" s="11" t="n">
        <v>46293</v>
      </c>
      <c r="M8" s="11" t="inlineStr">
        <is>
          <t>USR-05</t>
        </is>
      </c>
    </row>
    <row r="9">
      <c r="A9" s="4" t="inlineStr">
        <is>
          <t>SCH-000262</t>
        </is>
      </c>
      <c r="B9" s="4" t="inlineStr">
        <is>
          <t>PRJ-2026-00125</t>
        </is>
      </c>
      <c r="C9" s="4" t="inlineStr">
        <is>
          <t>Production</t>
        </is>
      </c>
      <c r="D9" s="10" t="n">
        <v>46346</v>
      </c>
      <c r="E9" s="10" t="n">
        <v>46361</v>
      </c>
      <c r="F9" s="4">
        <f>IF(ISBLANK($E9),0,$E9-$D9+1)</f>
        <v/>
      </c>
      <c r="G9" s="4" t="inlineStr">
        <is>
          <t>USR-05</t>
        </is>
      </c>
      <c r="H9" s="4" t="inlineStr">
        <is>
          <t>Production Planning</t>
        </is>
      </c>
      <c r="I9" s="4" t="inlineStr">
        <is>
          <t>Not Started</t>
        </is>
      </c>
      <c r="J9" s="14">
        <f>IF(ISBLANK($E9),0,IF($I9="Done",0,IF(AND($I9&lt;&gt;"Done",TODAY()&gt;$D9),TODAY()-$D9,0)))</f>
        <v/>
      </c>
      <c r="K9" s="4" t="inlineStr"/>
      <c r="L9" s="10" t="n">
        <v>46293</v>
      </c>
      <c r="M9" s="10" t="inlineStr">
        <is>
          <t>USR-05</t>
        </is>
      </c>
    </row>
    <row r="10">
      <c r="A10" s="6" t="inlineStr">
        <is>
          <t>SCH-000263</t>
        </is>
      </c>
      <c r="B10" s="6" t="inlineStr">
        <is>
          <t>PRJ-2026-00125</t>
        </is>
      </c>
      <c r="C10" s="6" t="inlineStr">
        <is>
          <t>QC</t>
        </is>
      </c>
      <c r="D10" s="11" t="n">
        <v>46362</v>
      </c>
      <c r="E10" s="11" t="n">
        <v>46366</v>
      </c>
      <c r="F10" s="6">
        <f>IF(ISBLANK($E10),0,$E10-$D10+1)</f>
        <v/>
      </c>
      <c r="G10" s="6" t="inlineStr">
        <is>
          <t>USR-04</t>
        </is>
      </c>
      <c r="H10" s="6" t="inlineStr">
        <is>
          <t>Production</t>
        </is>
      </c>
      <c r="I10" s="6" t="inlineStr">
        <is>
          <t>Not Started</t>
        </is>
      </c>
      <c r="J10" s="15">
        <f>IF(ISBLANK($E10),0,IF($I10="Done",0,IF(AND($I10&lt;&gt;"Done",TODAY()&gt;$D10),TODAY()-$D10,0)))</f>
        <v/>
      </c>
      <c r="K10" s="6" t="inlineStr"/>
      <c r="L10" s="11" t="n">
        <v>46293</v>
      </c>
      <c r="M10" s="11" t="inlineStr">
        <is>
          <t>USR-05</t>
        </is>
      </c>
    </row>
    <row r="11">
      <c r="A11" s="4" t="inlineStr">
        <is>
          <t>SCH-000264</t>
        </is>
      </c>
      <c r="B11" s="4" t="inlineStr">
        <is>
          <t>PRJ-2026-00125</t>
        </is>
      </c>
      <c r="C11" s="4" t="inlineStr">
        <is>
          <t>Packing</t>
        </is>
      </c>
      <c r="D11" s="10" t="n">
        <v>46367</v>
      </c>
      <c r="E11" s="10" t="n">
        <v>46370</v>
      </c>
      <c r="F11" s="4">
        <f>IF(ISBLANK($E11),0,$E11-$D11+1)</f>
        <v/>
      </c>
      <c r="G11" s="4" t="inlineStr">
        <is>
          <t>USR-05</t>
        </is>
      </c>
      <c r="H11" s="4" t="inlineStr">
        <is>
          <t>QC</t>
        </is>
      </c>
      <c r="I11" s="4" t="inlineStr">
        <is>
          <t>Not Started</t>
        </is>
      </c>
      <c r="J11" s="14">
        <f>IF(ISBLANK($E11),0,IF($I11="Done",0,IF(AND($I11&lt;&gt;"Done",TODAY()&gt;$D11),TODAY()-$D11,0)))</f>
        <v/>
      </c>
      <c r="K11" s="4" t="inlineStr"/>
      <c r="L11" s="10" t="n">
        <v>46293</v>
      </c>
      <c r="M11" s="10" t="inlineStr">
        <is>
          <t>USR-05</t>
        </is>
      </c>
    </row>
    <row r="12">
      <c r="A12" s="6" t="inlineStr">
        <is>
          <t>SCH-000265</t>
        </is>
      </c>
      <c r="B12" s="6" t="inlineStr">
        <is>
          <t>PRJ-2026-00125</t>
        </is>
      </c>
      <c r="C12" s="6" t="inlineStr">
        <is>
          <t>Delivery</t>
        </is>
      </c>
      <c r="D12" s="11" t="n">
        <v>46371</v>
      </c>
      <c r="E12" s="11" t="n">
        <v>46374</v>
      </c>
      <c r="F12" s="6">
        <f>IF(ISBLANK($E12),0,$E12-$D12+1)</f>
        <v/>
      </c>
      <c r="G12" s="6" t="inlineStr">
        <is>
          <t>USR-02</t>
        </is>
      </c>
      <c r="H12" s="6" t="inlineStr">
        <is>
          <t>Packing</t>
        </is>
      </c>
      <c r="I12" s="6" t="inlineStr">
        <is>
          <t>Not Started</t>
        </is>
      </c>
      <c r="J12" s="15">
        <f>IF(ISBLANK($E12),0,IF($I12="Done",0,IF(AND($I12&lt;&gt;"Done",TODAY()&gt;$D12),TODAY()-$D12,0)))</f>
        <v/>
      </c>
      <c r="K12" s="6" t="inlineStr"/>
      <c r="L12" s="11" t="n">
        <v>46293</v>
      </c>
      <c r="M12" s="11" t="inlineStr">
        <is>
          <t>USR-05</t>
        </is>
      </c>
    </row>
    <row r="13">
      <c r="A13" s="4" t="inlineStr">
        <is>
          <t>SCH-000266</t>
        </is>
      </c>
      <c r="B13" s="4" t="inlineStr">
        <is>
          <t>PRJ-2026-00126</t>
        </is>
      </c>
      <c r="C13" s="4" t="inlineStr">
        <is>
          <t>Engineering</t>
        </is>
      </c>
      <c r="D13" s="10" t="n">
        <v>46266</v>
      </c>
      <c r="E13" s="10" t="n">
        <v>46280</v>
      </c>
      <c r="F13" s="4">
        <f>IF(ISBLANK($E13),0,$E13-$D13+1)</f>
        <v/>
      </c>
      <c r="G13" s="4" t="inlineStr">
        <is>
          <t>USR-04</t>
        </is>
      </c>
      <c r="H13" s="4" t="inlineStr"/>
      <c r="I13" s="4" t="inlineStr">
        <is>
          <t>In Progress</t>
        </is>
      </c>
      <c r="J13" s="14">
        <f>IF(ISBLANK($E13),0,IF($I13="Done",0,IF(AND($I13&lt;&gt;"Done",TODAY()&gt;$D13),TODAY()-$D13,0)))</f>
        <v/>
      </c>
      <c r="K13" s="4" t="inlineStr">
        <is>
          <t>در انتظار تأیید نقشه</t>
        </is>
      </c>
      <c r="L13" s="10" t="n">
        <v>46266</v>
      </c>
      <c r="M13" s="10" t="inlineStr">
        <is>
          <t>USR-04</t>
        </is>
      </c>
    </row>
  </sheetData>
  <conditionalFormatting sqref="J3:J13">
    <cfRule type="cellIs" priority="1" operator="greaterThan" dxfId="1">
      <formula>&gt;0</formula>
    </cfRule>
  </conditionalFormatting>
  <dataValidations count="2">
    <dataValidation sqref="C3:C13" showDropDown="0" showInputMessage="0" showErrorMessage="1" allowBlank="1" errorTitle="Data Validation" error="مقدار خارج از فهرست مجاز است" promptTitle="Activity" prompt="انتخاب از فهرست مجاز برای Activity" type="list">
      <formula1>"Engineering,BOM Release,Procurement,Supplier Confirmation,Material Arrival,Production Planning,Production,QC,Packing,Delivery"</formula1>
    </dataValidation>
    <dataValidation sqref="I3:I13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14" customWidth="1" min="5" max="5"/>
    <col width="14" customWidth="1" min="6" max="6"/>
    <col width="11" customWidth="1" min="7" max="7"/>
    <col width="11" customWidth="1" min="8" max="8"/>
    <col width="12" customWidth="1" min="9" max="9"/>
    <col width="11" customWidth="1" min="10" max="10"/>
    <col width="13" customWidth="1" min="11" max="11"/>
    <col width="11" customWidth="1" min="12" max="12"/>
    <col width="14" customWidth="1" min="13" max="13"/>
    <col width="13" customWidth="1" min="14" max="14"/>
  </cols>
  <sheetData>
    <row r="1">
      <c r="A1" s="1" t="inlineStr">
        <is>
          <t>Cost_Lines</t>
        </is>
      </c>
      <c r="B1" s="2" t="inlineStr">
        <is>
          <t>ریز اجزای قیمت تمام‌شده (Drill-down). Direct Material = اقلام Make، Purchased Parts = اقلام Buy (غیر بسته‌بندی)، Packaging = بسته‌بندی.</t>
        </is>
      </c>
    </row>
    <row r="2">
      <c r="A2" s="3" t="inlineStr">
        <is>
          <t>System_ID</t>
        </is>
      </c>
      <c r="B2" s="3" t="inlineStr">
        <is>
          <t>Costing_ID</t>
        </is>
      </c>
      <c r="C2" s="3" t="inlineStr">
        <is>
          <t>Project_ID</t>
        </is>
      </c>
      <c r="D2" s="3" t="inlineStr">
        <is>
          <t>Category</t>
        </is>
      </c>
      <c r="E2" s="3" t="inlineStr">
        <is>
          <t>Material_ID</t>
        </is>
      </c>
      <c r="F2" s="3" t="inlineStr">
        <is>
          <t>Supplier_ID</t>
        </is>
      </c>
      <c r="G2" s="3" t="inlineStr">
        <is>
          <t>Qty</t>
        </is>
      </c>
      <c r="H2" s="3" t="inlineStr">
        <is>
          <t>UoM</t>
        </is>
      </c>
      <c r="I2" s="3" t="inlineStr">
        <is>
          <t>Unit_Cost</t>
        </is>
      </c>
      <c r="J2" s="3" t="inlineStr">
        <is>
          <t>Amount</t>
        </is>
      </c>
      <c r="K2" s="3" t="inlineStr">
        <is>
          <t>Source_Ref</t>
        </is>
      </c>
      <c r="L2" s="3" t="inlineStr">
        <is>
          <t>Memo</t>
        </is>
      </c>
      <c r="M2" s="3" t="inlineStr">
        <is>
          <t>Create_Date</t>
        </is>
      </c>
      <c r="N2" s="3" t="inlineStr">
        <is>
          <t>Created_By</t>
        </is>
      </c>
    </row>
    <row r="3">
      <c r="A3" s="4" t="inlineStr">
        <is>
          <t>CLI-000001</t>
        </is>
      </c>
      <c r="B3" s="5" t="inlineStr">
        <is>
          <t>CST-000321</t>
        </is>
      </c>
      <c r="C3" s="4" t="inlineStr">
        <is>
          <t>PRJ-2026-00125</t>
        </is>
      </c>
      <c r="D3" s="4" t="inlineStr">
        <is>
          <t>Direct Material</t>
        </is>
      </c>
      <c r="E3" s="4" t="inlineStr">
        <is>
          <t>MAT-001542</t>
        </is>
      </c>
      <c r="F3" s="4" t="inlineStr"/>
      <c r="G3" s="8" t="n">
        <v>378</v>
      </c>
      <c r="H3" s="4" t="inlineStr">
        <is>
          <t>kg</t>
        </is>
      </c>
      <c r="I3" s="5">
        <f>Purchase_Prices!$O$3</f>
        <v/>
      </c>
      <c r="J3" s="5">
        <f>ROUND($G3*$I3,0)</f>
        <v/>
      </c>
      <c r="K3" s="4" t="inlineStr">
        <is>
          <t>PPR-MAT-001542</t>
        </is>
      </c>
      <c r="L3" s="4" t="inlineStr">
        <is>
          <t>از قیمت خرید فعال (Landed)</t>
        </is>
      </c>
      <c r="M3" s="10" t="n">
        <v>46300</v>
      </c>
      <c r="N3" s="10" t="inlineStr">
        <is>
          <t>USR-07</t>
        </is>
      </c>
    </row>
    <row r="4">
      <c r="A4" s="6" t="inlineStr">
        <is>
          <t>CLI-000002</t>
        </is>
      </c>
      <c r="B4" s="7" t="inlineStr">
        <is>
          <t>CST-000321</t>
        </is>
      </c>
      <c r="C4" s="6" t="inlineStr">
        <is>
          <t>PRJ-2026-00125</t>
        </is>
      </c>
      <c r="D4" s="6" t="inlineStr">
        <is>
          <t>Direct Material</t>
        </is>
      </c>
      <c r="E4" s="6" t="inlineStr">
        <is>
          <t>MAT-001543</t>
        </is>
      </c>
      <c r="F4" s="6" t="inlineStr"/>
      <c r="G4" s="9" t="n">
        <v>115.5</v>
      </c>
      <c r="H4" s="6" t="inlineStr">
        <is>
          <t>kg</t>
        </is>
      </c>
      <c r="I4" s="7">
        <f>Purchase_Prices!$O$4</f>
        <v/>
      </c>
      <c r="J4" s="7">
        <f>ROUND($G4*$I4,0)</f>
        <v/>
      </c>
      <c r="K4" s="6" t="inlineStr">
        <is>
          <t>PPR-MAT-001543</t>
        </is>
      </c>
      <c r="L4" s="6" t="inlineStr">
        <is>
          <t>از قیمت خرید فعال (Landed)</t>
        </is>
      </c>
      <c r="M4" s="11" t="n">
        <v>46300</v>
      </c>
      <c r="N4" s="11" t="inlineStr">
        <is>
          <t>USR-07</t>
        </is>
      </c>
    </row>
    <row r="5">
      <c r="A5" s="4" t="inlineStr">
        <is>
          <t>CLI-000003</t>
        </is>
      </c>
      <c r="B5" s="5" t="inlineStr">
        <is>
          <t>CST-000321</t>
        </is>
      </c>
      <c r="C5" s="4" t="inlineStr">
        <is>
          <t>PRJ-2026-00125</t>
        </is>
      </c>
      <c r="D5" s="4" t="inlineStr">
        <is>
          <t>Direct Material</t>
        </is>
      </c>
      <c r="E5" s="4" t="inlineStr">
        <is>
          <t>MAT-001547</t>
        </is>
      </c>
      <c r="F5" s="4" t="inlineStr"/>
      <c r="G5" s="8" t="n">
        <v>46.2</v>
      </c>
      <c r="H5" s="4" t="inlineStr">
        <is>
          <t>kg</t>
        </is>
      </c>
      <c r="I5" s="5">
        <f>Purchase_Prices!$O$9</f>
        <v/>
      </c>
      <c r="J5" s="5">
        <f>ROUND($G5*$I5,0)</f>
        <v/>
      </c>
      <c r="K5" s="4" t="inlineStr">
        <is>
          <t>PPR-MAT-001547</t>
        </is>
      </c>
      <c r="L5" s="4" t="inlineStr">
        <is>
          <t>از قیمت خرید فعال (Landed)</t>
        </is>
      </c>
      <c r="M5" s="10" t="n">
        <v>46300</v>
      </c>
      <c r="N5" s="10" t="inlineStr">
        <is>
          <t>USR-07</t>
        </is>
      </c>
    </row>
    <row r="6">
      <c r="A6" s="6" t="inlineStr">
        <is>
          <t>CLI-000004</t>
        </is>
      </c>
      <c r="B6" s="7" t="inlineStr">
        <is>
          <t>CST-000321</t>
        </is>
      </c>
      <c r="C6" s="6" t="inlineStr">
        <is>
          <t>PRJ-2026-00125</t>
        </is>
      </c>
      <c r="D6" s="6" t="inlineStr">
        <is>
          <t>Purchased Parts</t>
        </is>
      </c>
      <c r="E6" s="6" t="inlineStr">
        <is>
          <t>MAT-001544</t>
        </is>
      </c>
      <c r="F6" s="6" t="inlineStr">
        <is>
          <t>SUP-000089</t>
        </is>
      </c>
      <c r="G6" s="9" t="n">
        <v>2</v>
      </c>
      <c r="H6" s="6" t="inlineStr">
        <is>
          <t>pcs</t>
        </is>
      </c>
      <c r="I6" s="7">
        <f>Purchase_Prices!$O$5</f>
        <v/>
      </c>
      <c r="J6" s="7">
        <f>ROUND($G6*$I6,0)</f>
        <v/>
      </c>
      <c r="K6" s="6" t="inlineStr">
        <is>
          <t>PPR-MAT-001544</t>
        </is>
      </c>
      <c r="L6" s="6" t="inlineStr">
        <is>
          <t>از قیمت خرید فعال (Landed)</t>
        </is>
      </c>
      <c r="M6" s="11" t="n">
        <v>46300</v>
      </c>
      <c r="N6" s="11" t="inlineStr">
        <is>
          <t>USR-07</t>
        </is>
      </c>
    </row>
    <row r="7">
      <c r="A7" s="4" t="inlineStr">
        <is>
          <t>CLI-000005</t>
        </is>
      </c>
      <c r="B7" s="5" t="inlineStr">
        <is>
          <t>CST-000321</t>
        </is>
      </c>
      <c r="C7" s="4" t="inlineStr">
        <is>
          <t>PRJ-2026-00125</t>
        </is>
      </c>
      <c r="D7" s="4" t="inlineStr">
        <is>
          <t>Purchased Parts</t>
        </is>
      </c>
      <c r="E7" s="4" t="inlineStr">
        <is>
          <t>MAT-001545</t>
        </is>
      </c>
      <c r="F7" s="4" t="inlineStr">
        <is>
          <t>SUP-000088</t>
        </is>
      </c>
      <c r="G7" s="8" t="n">
        <v>2</v>
      </c>
      <c r="H7" s="4" t="inlineStr">
        <is>
          <t>pcs</t>
        </is>
      </c>
      <c r="I7" s="5">
        <f>Purchase_Prices!$O$6</f>
        <v/>
      </c>
      <c r="J7" s="5">
        <f>ROUND($G7*$I7,0)</f>
        <v/>
      </c>
      <c r="K7" s="4" t="inlineStr">
        <is>
          <t>PPR-MAT-001545</t>
        </is>
      </c>
      <c r="L7" s="4" t="inlineStr">
        <is>
          <t>از قیمت خرید فعال (Landed)</t>
        </is>
      </c>
      <c r="M7" s="10" t="n">
        <v>46300</v>
      </c>
      <c r="N7" s="10" t="inlineStr">
        <is>
          <t>USR-07</t>
        </is>
      </c>
    </row>
    <row r="8">
      <c r="A8" s="6" t="inlineStr">
        <is>
          <t>CLI-000006</t>
        </is>
      </c>
      <c r="B8" s="7" t="inlineStr">
        <is>
          <t>CST-000321</t>
        </is>
      </c>
      <c r="C8" s="6" t="inlineStr">
        <is>
          <t>PRJ-2026-00125</t>
        </is>
      </c>
      <c r="D8" s="6" t="inlineStr">
        <is>
          <t>Purchased Parts</t>
        </is>
      </c>
      <c r="E8" s="6" t="inlineStr">
        <is>
          <t>MAT-001546</t>
        </is>
      </c>
      <c r="F8" s="6" t="inlineStr">
        <is>
          <t>SUP-000087</t>
        </is>
      </c>
      <c r="G8" s="9" t="n">
        <v>2</v>
      </c>
      <c r="H8" s="6" t="inlineStr">
        <is>
          <t>pcs</t>
        </is>
      </c>
      <c r="I8" s="7">
        <f>Purchase_Prices!$O$7</f>
        <v/>
      </c>
      <c r="J8" s="7">
        <f>ROUND($G8*$I8,0)</f>
        <v/>
      </c>
      <c r="K8" s="6" t="inlineStr">
        <is>
          <t>PPR-MAT-001546</t>
        </is>
      </c>
      <c r="L8" s="6" t="inlineStr">
        <is>
          <t>از قیمت خرید فعال (Landed)</t>
        </is>
      </c>
      <c r="M8" s="11" t="n">
        <v>46300</v>
      </c>
      <c r="N8" s="11" t="inlineStr">
        <is>
          <t>USR-07</t>
        </is>
      </c>
    </row>
    <row r="9">
      <c r="A9" s="4" t="inlineStr">
        <is>
          <t>CLI-000007</t>
        </is>
      </c>
      <c r="B9" s="5" t="inlineStr">
        <is>
          <t>CST-000321</t>
        </is>
      </c>
      <c r="C9" s="4" t="inlineStr">
        <is>
          <t>PRJ-2026-00125</t>
        </is>
      </c>
      <c r="D9" s="4" t="inlineStr">
        <is>
          <t>Direct Material</t>
        </is>
      </c>
      <c r="E9" s="4" t="inlineStr">
        <is>
          <t>MAT-001542</t>
        </is>
      </c>
      <c r="F9" s="4" t="inlineStr"/>
      <c r="G9" s="8" t="n">
        <v>99.75</v>
      </c>
      <c r="H9" s="4" t="inlineStr">
        <is>
          <t>kg</t>
        </is>
      </c>
      <c r="I9" s="5">
        <f>Purchase_Prices!$O$3</f>
        <v/>
      </c>
      <c r="J9" s="5">
        <f>ROUND($G9*$I9,0)</f>
        <v/>
      </c>
      <c r="K9" s="4" t="inlineStr">
        <is>
          <t>PPR-MAT-001542</t>
        </is>
      </c>
      <c r="L9" s="4" t="inlineStr">
        <is>
          <t>از قیمت خرید فعال (Landed)</t>
        </is>
      </c>
      <c r="M9" s="10" t="n">
        <v>46300</v>
      </c>
      <c r="N9" s="10" t="inlineStr">
        <is>
          <t>USR-07</t>
        </is>
      </c>
    </row>
    <row r="10">
      <c r="A10" s="6" t="inlineStr">
        <is>
          <t>CLI-000008</t>
        </is>
      </c>
      <c r="B10" s="7" t="inlineStr">
        <is>
          <t>CST-000321</t>
        </is>
      </c>
      <c r="C10" s="6" t="inlineStr">
        <is>
          <t>PRJ-2026-00125</t>
        </is>
      </c>
      <c r="D10" s="6" t="inlineStr">
        <is>
          <t>Direct Material</t>
        </is>
      </c>
      <c r="E10" s="6" t="inlineStr">
        <is>
          <t>MAT-001547</t>
        </is>
      </c>
      <c r="F10" s="6" t="inlineStr"/>
      <c r="G10" s="9" t="n">
        <v>14.7</v>
      </c>
      <c r="H10" s="6" t="inlineStr">
        <is>
          <t>kg</t>
        </is>
      </c>
      <c r="I10" s="7">
        <f>Purchase_Prices!$O$9</f>
        <v/>
      </c>
      <c r="J10" s="7">
        <f>ROUND($G10*$I10,0)</f>
        <v/>
      </c>
      <c r="K10" s="6" t="inlineStr">
        <is>
          <t>PPR-MAT-001547</t>
        </is>
      </c>
      <c r="L10" s="6" t="inlineStr">
        <is>
          <t>از قیمت خرید فعال (Landed)</t>
        </is>
      </c>
      <c r="M10" s="11" t="n">
        <v>46300</v>
      </c>
      <c r="N10" s="11" t="inlineStr">
        <is>
          <t>USR-07</t>
        </is>
      </c>
    </row>
    <row r="11">
      <c r="A11" s="4" t="inlineStr">
        <is>
          <t>CLI-000009</t>
        </is>
      </c>
      <c r="B11" s="5" t="inlineStr">
        <is>
          <t>CST-000321</t>
        </is>
      </c>
      <c r="C11" s="4" t="inlineStr">
        <is>
          <t>PRJ-2026-00125</t>
        </is>
      </c>
      <c r="D11" s="4" t="inlineStr">
        <is>
          <t>Purchased Parts</t>
        </is>
      </c>
      <c r="E11" s="4" t="inlineStr">
        <is>
          <t>MAT-001544</t>
        </is>
      </c>
      <c r="F11" s="4" t="inlineStr">
        <is>
          <t>SUP-000089</t>
        </is>
      </c>
      <c r="G11" s="8" t="n">
        <v>1</v>
      </c>
      <c r="H11" s="4" t="inlineStr">
        <is>
          <t>pcs</t>
        </is>
      </c>
      <c r="I11" s="5">
        <f>Purchase_Prices!$O$5</f>
        <v/>
      </c>
      <c r="J11" s="5">
        <f>ROUND($G11*$I11,0)</f>
        <v/>
      </c>
      <c r="K11" s="4" t="inlineStr">
        <is>
          <t>PPR-MAT-001544</t>
        </is>
      </c>
      <c r="L11" s="4" t="inlineStr">
        <is>
          <t>از قیمت خرید فعال (Landed)</t>
        </is>
      </c>
      <c r="M11" s="10" t="n">
        <v>46300</v>
      </c>
      <c r="N11" s="10" t="inlineStr">
        <is>
          <t>USR-07</t>
        </is>
      </c>
    </row>
    <row r="12">
      <c r="A12" s="6" t="inlineStr">
        <is>
          <t>CLI-000010</t>
        </is>
      </c>
      <c r="B12" s="7" t="inlineStr">
        <is>
          <t>CST-000321</t>
        </is>
      </c>
      <c r="C12" s="6" t="inlineStr">
        <is>
          <t>PRJ-2026-00125</t>
        </is>
      </c>
      <c r="D12" s="6" t="inlineStr">
        <is>
          <t>Purchased Parts</t>
        </is>
      </c>
      <c r="E12" s="6" t="inlineStr">
        <is>
          <t>MAT-001545</t>
        </is>
      </c>
      <c r="F12" s="6" t="inlineStr">
        <is>
          <t>SUP-000088</t>
        </is>
      </c>
      <c r="G12" s="9" t="n">
        <v>1</v>
      </c>
      <c r="H12" s="6" t="inlineStr">
        <is>
          <t>pcs</t>
        </is>
      </c>
      <c r="I12" s="7">
        <f>Purchase_Prices!$O$6</f>
        <v/>
      </c>
      <c r="J12" s="7">
        <f>ROUND($G12*$I12,0)</f>
        <v/>
      </c>
      <c r="K12" s="6" t="inlineStr">
        <is>
          <t>PPR-MAT-001545</t>
        </is>
      </c>
      <c r="L12" s="6" t="inlineStr">
        <is>
          <t>از قیمت خرید فعال (Landed)</t>
        </is>
      </c>
      <c r="M12" s="11" t="n">
        <v>46300</v>
      </c>
      <c r="N12" s="11" t="inlineStr">
        <is>
          <t>USR-07</t>
        </is>
      </c>
    </row>
    <row r="13">
      <c r="A13" s="4" t="inlineStr">
        <is>
          <t>CLI-000011</t>
        </is>
      </c>
      <c r="B13" s="5" t="inlineStr">
        <is>
          <t>CST-000321</t>
        </is>
      </c>
      <c r="C13" s="4" t="inlineStr">
        <is>
          <t>PRJ-2026-00125</t>
        </is>
      </c>
      <c r="D13" s="4" t="inlineStr">
        <is>
          <t>Purchased Parts</t>
        </is>
      </c>
      <c r="E13" s="4" t="inlineStr">
        <is>
          <t>MAT-001546</t>
        </is>
      </c>
      <c r="F13" s="4" t="inlineStr">
        <is>
          <t>SUP-000087</t>
        </is>
      </c>
      <c r="G13" s="8" t="n">
        <v>1</v>
      </c>
      <c r="H13" s="4" t="inlineStr">
        <is>
          <t>pcs</t>
        </is>
      </c>
      <c r="I13" s="5">
        <f>Purchase_Prices!$O$7</f>
        <v/>
      </c>
      <c r="J13" s="5">
        <f>ROUND($G13*$I13,0)</f>
        <v/>
      </c>
      <c r="K13" s="4" t="inlineStr">
        <is>
          <t>PPR-MAT-001546</t>
        </is>
      </c>
      <c r="L13" s="4" t="inlineStr">
        <is>
          <t>از قیمت خرید فعال (Landed)</t>
        </is>
      </c>
      <c r="M13" s="10" t="n">
        <v>46300</v>
      </c>
      <c r="N13" s="10" t="inlineStr">
        <is>
          <t>USR-07</t>
        </is>
      </c>
    </row>
    <row r="14">
      <c r="A14" s="6" t="inlineStr">
        <is>
          <t>CLI-000012</t>
        </is>
      </c>
      <c r="B14" s="7" t="inlineStr">
        <is>
          <t>CST-000321</t>
        </is>
      </c>
      <c r="C14" s="6" t="inlineStr">
        <is>
          <t>PRJ-2026-00125</t>
        </is>
      </c>
      <c r="D14" s="6" t="inlineStr">
        <is>
          <t>Direct Labor</t>
        </is>
      </c>
      <c r="E14" s="6" t="inlineStr"/>
      <c r="F14" s="6" t="inlineStr"/>
      <c r="G14" s="9" t="n">
        <v>400</v>
      </c>
      <c r="H14" s="6" t="inlineStr">
        <is>
          <t>hr</t>
        </is>
      </c>
      <c r="I14" s="7">
        <f>Settings!$B$3</f>
        <v/>
      </c>
      <c r="J14" s="7">
        <f>ROUND($G14*$I14,0)</f>
        <v/>
      </c>
      <c r="K14" s="6" t="inlineStr">
        <is>
          <t>Settings</t>
        </is>
      </c>
      <c r="L14" s="6" t="inlineStr">
        <is>
          <t>ASSUMPTION: 400 ساعت نفر</t>
        </is>
      </c>
      <c r="M14" s="11" t="n">
        <v>46300</v>
      </c>
      <c r="N14" s="11" t="inlineStr">
        <is>
          <t>USR-07</t>
        </is>
      </c>
    </row>
    <row r="15">
      <c r="A15" s="4" t="inlineStr">
        <is>
          <t>CLI-000013</t>
        </is>
      </c>
      <c r="B15" s="5" t="inlineStr">
        <is>
          <t>CST-000321</t>
        </is>
      </c>
      <c r="C15" s="4" t="inlineStr">
        <is>
          <t>PRJ-2026-00125</t>
        </is>
      </c>
      <c r="D15" s="4" t="inlineStr">
        <is>
          <t>Manufacturing Overhead</t>
        </is>
      </c>
      <c r="E15" s="4" t="inlineStr"/>
      <c r="F15" s="4" t="inlineStr"/>
      <c r="G15" s="8" t="n">
        <v>1</v>
      </c>
      <c r="H15" s="4" t="inlineStr">
        <is>
          <t>lot</t>
        </is>
      </c>
      <c r="I15" s="5">
        <f>Settings!$B$4</f>
        <v/>
      </c>
      <c r="J15" s="5">
        <f>ROUND($J$14*$I15,0)</f>
        <v/>
      </c>
      <c r="K15" s="4" t="inlineStr">
        <is>
          <t>Settings</t>
        </is>
      </c>
      <c r="L15" s="4" t="inlineStr">
        <is>
          <t>ASSUMPTION: نرخ سربار × دستمزد مستقیم (جذب بر پایه کار)</t>
        </is>
      </c>
      <c r="M15" s="10" t="n">
        <v>46300</v>
      </c>
      <c r="N15" s="10" t="inlineStr">
        <is>
          <t>USR-07</t>
        </is>
      </c>
    </row>
    <row r="16">
      <c r="A16" s="6" t="inlineStr">
        <is>
          <t>CLI-000014</t>
        </is>
      </c>
      <c r="B16" s="7" t="inlineStr">
        <is>
          <t>CST-000321</t>
        </is>
      </c>
      <c r="C16" s="6" t="inlineStr">
        <is>
          <t>PRJ-2026-00125</t>
        </is>
      </c>
      <c r="D16" s="6" t="inlineStr">
        <is>
          <t>Scrap</t>
        </is>
      </c>
      <c r="E16" s="6" t="inlineStr"/>
      <c r="F16" s="6" t="inlineStr"/>
      <c r="G16" s="9" t="n">
        <v>1</v>
      </c>
      <c r="H16" s="6" t="inlineStr">
        <is>
          <t>lot</t>
        </is>
      </c>
      <c r="I16" s="7">
        <f>Settings!$B$5</f>
        <v/>
      </c>
      <c r="J16" s="7">
        <f>ROUND(($J$3+$J$4+$J$5+$J$9+$J$10+$J$6+$J$7+$J$8+$J$11+$J$12+$J$13)*$I16,0)</f>
        <v/>
      </c>
      <c r="K16" s="6" t="inlineStr">
        <is>
          <t>Settings</t>
        </is>
      </c>
      <c r="L16" s="6" t="inlineStr">
        <is>
          <t>ASSUMPTION: ضریب ضایعات فرآیند</t>
        </is>
      </c>
      <c r="M16" s="11" t="n">
        <v>46300</v>
      </c>
      <c r="N16" s="11" t="inlineStr">
        <is>
          <t>USR-07</t>
        </is>
      </c>
    </row>
    <row r="17">
      <c r="A17" s="4" t="inlineStr">
        <is>
          <t>CLI-000015</t>
        </is>
      </c>
      <c r="B17" s="5" t="inlineStr">
        <is>
          <t>CST-000321</t>
        </is>
      </c>
      <c r="C17" s="4" t="inlineStr">
        <is>
          <t>PRJ-2026-00125</t>
        </is>
      </c>
      <c r="D17" s="4" t="inlineStr">
        <is>
          <t>Packaging</t>
        </is>
      </c>
      <c r="E17" s="4" t="inlineStr">
        <is>
          <t>MAT-001548</t>
        </is>
      </c>
      <c r="F17" s="4" t="inlineStr"/>
      <c r="G17" s="8" t="n">
        <v>2</v>
      </c>
      <c r="H17" s="4" t="inlineStr">
        <is>
          <t>pcs</t>
        </is>
      </c>
      <c r="I17" s="5">
        <f>Settings!$B$11</f>
        <v/>
      </c>
      <c r="J17" s="5">
        <f>ROUND($G17*$I17,0)</f>
        <v/>
      </c>
      <c r="K17" s="4" t="inlineStr">
        <is>
          <t>Settings</t>
        </is>
      </c>
      <c r="L17" s="4" t="inlineStr">
        <is>
          <t>بسته‌بندی از Settings/تأمین‌کننده</t>
        </is>
      </c>
      <c r="M17" s="10" t="n">
        <v>46300</v>
      </c>
      <c r="N17" s="10" t="inlineStr">
        <is>
          <t>USR-07</t>
        </is>
      </c>
    </row>
    <row r="18">
      <c r="A18" s="6" t="inlineStr">
        <is>
          <t>CLI-000016</t>
        </is>
      </c>
      <c r="B18" s="7" t="inlineStr">
        <is>
          <t>CST-000321</t>
        </is>
      </c>
      <c r="C18" s="6" t="inlineStr">
        <is>
          <t>PRJ-2026-00125</t>
        </is>
      </c>
      <c r="D18" s="6" t="inlineStr">
        <is>
          <t>Logistics</t>
        </is>
      </c>
      <c r="E18" s="6" t="inlineStr"/>
      <c r="F18" s="6" t="inlineStr"/>
      <c r="G18" s="9" t="n">
        <v>1</v>
      </c>
      <c r="H18" s="6" t="inlineStr">
        <is>
          <t>lot</t>
        </is>
      </c>
      <c r="I18" s="7">
        <f>Settings!$B$10</f>
        <v/>
      </c>
      <c r="J18" s="7">
        <f>ROUND($G18*$I18,0)</f>
        <v/>
      </c>
      <c r="K18" s="6" t="inlineStr">
        <is>
          <t>Settings</t>
        </is>
      </c>
      <c r="L18" s="6" t="inlineStr">
        <is>
          <t>ASSUMPTION: لجستیک پایه پروژه</t>
        </is>
      </c>
      <c r="M18" s="11" t="n">
        <v>46300</v>
      </c>
      <c r="N18" s="11" t="inlineStr">
        <is>
          <t>USR-07</t>
        </is>
      </c>
    </row>
    <row r="19">
      <c r="A19" s="4" t="inlineStr">
        <is>
          <t>CLI-000017</t>
        </is>
      </c>
      <c r="B19" s="5" t="inlineStr">
        <is>
          <t>CST-000321</t>
        </is>
      </c>
      <c r="C19" s="4" t="inlineStr">
        <is>
          <t>PRJ-2026-00125</t>
        </is>
      </c>
      <c r="D19" s="4" t="inlineStr">
        <is>
          <t>Tooling</t>
        </is>
      </c>
      <c r="E19" s="4" t="inlineStr"/>
      <c r="F19" s="4" t="inlineStr"/>
      <c r="G19" s="8" t="n">
        <v>1</v>
      </c>
      <c r="H19" s="4" t="inlineStr">
        <is>
          <t>lot</t>
        </is>
      </c>
      <c r="I19" s="5">
        <f>Settings!$B$9</f>
        <v/>
      </c>
      <c r="J19" s="5">
        <f>ROUND($G19*$I19,0)</f>
        <v/>
      </c>
      <c r="K19" s="4" t="inlineStr">
        <is>
          <t>Settings</t>
        </is>
      </c>
      <c r="L19" s="4" t="inlineStr">
        <is>
          <t>ASSUMPTION: استهلاک قالب (تسهیم خطی)</t>
        </is>
      </c>
      <c r="M19" s="10" t="n">
        <v>46300</v>
      </c>
      <c r="N19" s="10" t="inlineStr">
        <is>
          <t>USR-07</t>
        </is>
      </c>
    </row>
    <row r="20">
      <c r="A20" s="6" t="inlineStr">
        <is>
          <t>CLI-000018</t>
        </is>
      </c>
      <c r="B20" s="7" t="inlineStr">
        <is>
          <t>CST-000321</t>
        </is>
      </c>
      <c r="C20" s="6" t="inlineStr">
        <is>
          <t>PRJ-2026-00125</t>
        </is>
      </c>
      <c r="D20" s="6" t="inlineStr">
        <is>
          <t>SG&amp;A</t>
        </is>
      </c>
      <c r="E20" s="6" t="inlineStr"/>
      <c r="F20" s="6" t="inlineStr"/>
      <c r="G20" s="9" t="n">
        <v>1</v>
      </c>
      <c r="H20" s="6" t="inlineStr">
        <is>
          <t>lot</t>
        </is>
      </c>
      <c r="I20" s="7">
        <f>Settings!$B$7</f>
        <v/>
      </c>
      <c r="J20" s="7">
        <f>ROUND(IF(Settings!$B$8=1,($J$3+$J$4+$J$5+$J$9+$J$10+$J$6+$J$7+$J$8+$J$11+$J$12+$J$13+$J$17+$J$14+$J$15)*$I20,0),0)</f>
        <v/>
      </c>
      <c r="K20" s="6" t="inlineStr">
        <is>
          <t>Settings</t>
        </is>
      </c>
      <c r="L20" s="6" t="inlineStr">
        <is>
          <t>ASSUMPTION: نرخ اداری/فروش (در صورت سیاست سازمان)</t>
        </is>
      </c>
      <c r="M20" s="11" t="n">
        <v>46300</v>
      </c>
      <c r="N20" s="11" t="inlineStr">
        <is>
          <t>USR-07</t>
        </is>
      </c>
    </row>
  </sheetData>
  <dataValidations count="1">
    <dataValidation sqref="H3:H20" showDropDown="0" showInputMessage="0" showErrorMessage="1" allowBlank="1" errorTitle="Data Validation" error="مقدار خارج از فهرست مجاز است" promptTitle="UoM" prompt="انتخاب از فهرست مجاز برای UoM" type="list">
      <formula1>"pcs,kg,m,m2,liter,set,ton"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2" customWidth="1" min="4" max="4"/>
    <col width="13" customWidth="1" min="5" max="5"/>
    <col width="12" customWidth="1" min="6" max="6"/>
    <col width="19" customWidth="1" min="7" max="7"/>
    <col width="19" customWidth="1" min="8" max="8"/>
    <col width="15" customWidth="1" min="9" max="9"/>
    <col width="15" customWidth="1" min="10" max="10"/>
    <col width="11" customWidth="1" min="11" max="11"/>
    <col width="12" customWidth="1" min="12" max="12"/>
    <col width="12" customWidth="1" min="13" max="13"/>
    <col width="11" customWidth="1" min="14" max="14"/>
    <col width="11" customWidth="1" min="15" max="15"/>
    <col width="19" customWidth="1" min="16" max="16"/>
    <col width="13" customWidth="1" min="17" max="17"/>
    <col width="16" customWidth="1" min="18" max="18"/>
    <col width="14" customWidth="1" min="19" max="19"/>
    <col width="14" customWidth="1" min="20" max="20"/>
    <col width="13" customWidth="1" min="21" max="21"/>
  </cols>
  <sheetData>
    <row r="1">
      <c r="A1" s="1" t="inlineStr">
        <is>
          <t>Costing</t>
        </is>
      </c>
      <c r="B1" s="2" t="inlineStr">
        <is>
          <t>قیمت تمام‌شده = SUMIFS روی Cost_Lines به تفکیک Category. Cost_Per_Unit = Total_Cost / Qty_Basis.</t>
        </is>
      </c>
    </row>
    <row r="2">
      <c r="A2" s="3" t="inlineStr">
        <is>
          <t>System_ID</t>
        </is>
      </c>
      <c r="B2" s="3" t="inlineStr">
        <is>
          <t>Project_ID</t>
        </is>
      </c>
      <c r="C2" s="3" t="inlineStr">
        <is>
          <t>Revision</t>
        </is>
      </c>
      <c r="D2" s="3" t="inlineStr">
        <is>
          <t>Status_ID</t>
        </is>
      </c>
      <c r="E2" s="3" t="inlineStr">
        <is>
          <t>Cost_Basis</t>
        </is>
      </c>
      <c r="F2" s="3" t="inlineStr">
        <is>
          <t>Qty_Basis</t>
        </is>
      </c>
      <c r="G2" s="3" t="inlineStr">
        <is>
          <t>Direct_Material</t>
        </is>
      </c>
      <c r="H2" s="3" t="inlineStr">
        <is>
          <t>Purchased_Parts</t>
        </is>
      </c>
      <c r="I2" s="3" t="inlineStr">
        <is>
          <t>Direct_Labor</t>
        </is>
      </c>
      <c r="J2" s="3" t="inlineStr">
        <is>
          <t>Mfg_Overhead</t>
        </is>
      </c>
      <c r="K2" s="3" t="inlineStr">
        <is>
          <t>Scrap</t>
        </is>
      </c>
      <c r="L2" s="3" t="inlineStr">
        <is>
          <t>Packaging</t>
        </is>
      </c>
      <c r="M2" s="3" t="inlineStr">
        <is>
          <t>Logistics</t>
        </is>
      </c>
      <c r="N2" s="3" t="inlineStr">
        <is>
          <t>Tooling</t>
        </is>
      </c>
      <c r="O2" s="3" t="inlineStr">
        <is>
          <t>SG&amp;A</t>
        </is>
      </c>
      <c r="P2" s="3" t="inlineStr">
        <is>
          <t>Other_Allocated</t>
        </is>
      </c>
      <c r="Q2" s="3" t="inlineStr">
        <is>
          <t>Total_Cost</t>
        </is>
      </c>
      <c r="R2" s="3" t="inlineStr">
        <is>
          <t>Cost_Per_Unit</t>
        </is>
      </c>
      <c r="S2" s="3" t="inlineStr">
        <is>
          <t>Approved_By</t>
        </is>
      </c>
      <c r="T2" s="3" t="inlineStr">
        <is>
          <t>Create_Date</t>
        </is>
      </c>
      <c r="U2" s="3" t="inlineStr">
        <is>
          <t>Created_By</t>
        </is>
      </c>
    </row>
    <row r="3">
      <c r="A3" s="4" t="inlineStr">
        <is>
          <t>CST-000321</t>
        </is>
      </c>
      <c r="B3" s="4" t="inlineStr">
        <is>
          <t>PRJ-2026-00125</t>
        </is>
      </c>
      <c r="C3" s="4" t="inlineStr">
        <is>
          <t>R01</t>
        </is>
      </c>
      <c r="D3" s="4" t="inlineStr">
        <is>
          <t>Approved</t>
        </is>
      </c>
      <c r="E3" s="5" t="n">
        <v>46300</v>
      </c>
      <c r="F3" s="8" t="n">
        <v>2</v>
      </c>
      <c r="G3" s="4">
        <f>SUMIFS(Cost_Lines!$J$3:$J$21,Cost_Lines!$B$3:$B$21,$A3,Cost_Lines!$D$3:$D$21,"Direct Material")</f>
        <v/>
      </c>
      <c r="H3" s="4">
        <f>SUMIFS(Cost_Lines!$J$3:$J$21,Cost_Lines!$B$3:$B$21,$A3,Cost_Lines!$D$3:$D$21,"Purchased Parts")</f>
        <v/>
      </c>
      <c r="I3" s="4">
        <f>SUMIFS(Cost_Lines!$J$3:$J$21,Cost_Lines!$B$3:$B$21,$A3,Cost_Lines!$D$3:$D$21,"Direct Labor")</f>
        <v/>
      </c>
      <c r="J3" s="4">
        <f>SUMIFS(Cost_Lines!$J$3:$J$21,Cost_Lines!$B$3:$B$21,$A3,Cost_Lines!$D$3:$D$21,"Manufacturing Overhead")</f>
        <v/>
      </c>
      <c r="K3" s="16">
        <f>SUMIFS(Cost_Lines!$J$3:$J$21,Cost_Lines!$B$3:$B$21,$A3,Cost_Lines!$D$3:$D$21,"Scrap")</f>
        <v/>
      </c>
      <c r="L3" s="4">
        <f>SUMIFS(Cost_Lines!$J$3:$J$21,Cost_Lines!$B$3:$B$21,$A3,Cost_Lines!$D$3:$D$21,"Packaging")</f>
        <v/>
      </c>
      <c r="M3" s="4">
        <f>SUMIFS(Cost_Lines!$J$3:$J$21,Cost_Lines!$B$3:$B$21,$A3,Cost_Lines!$D$3:$D$21,"Logistics")</f>
        <v/>
      </c>
      <c r="N3" s="4">
        <f>SUMIFS(Cost_Lines!$J$3:$J$21,Cost_Lines!$B$3:$B$21,$A3,Cost_Lines!$D$3:$D$21,"Tooling")</f>
        <v/>
      </c>
      <c r="O3" s="16">
        <f>SUMIFS(Cost_Lines!$J$3:$J$21,Cost_Lines!$B$3:$B$21,$A3,Cost_Lines!$D$3:$D$21,"SG&amp;A")</f>
        <v/>
      </c>
      <c r="P3" s="5" t="n">
        <v>0</v>
      </c>
      <c r="Q3" s="5">
        <f>SUM($G3:$P3)</f>
        <v/>
      </c>
      <c r="R3" s="5">
        <f>IF($F3=0,0,ROUND($Q3/$F3,0))</f>
        <v/>
      </c>
      <c r="S3" s="4" t="inlineStr">
        <is>
          <t>USR-07</t>
        </is>
      </c>
      <c r="T3" s="10" t="n">
        <v>46300</v>
      </c>
      <c r="U3" s="10" t="inlineStr">
        <is>
          <t>USR-07</t>
        </is>
      </c>
    </row>
  </sheetData>
  <dataValidations count="1">
    <dataValidation sqref="D3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19" customWidth="1" min="5" max="5"/>
    <col width="15" customWidth="1" min="6" max="6"/>
    <col width="19" customWidth="1" min="7" max="7"/>
    <col width="22" customWidth="1" min="8" max="8"/>
    <col width="20" customWidth="1" min="9" max="9"/>
    <col width="18" customWidth="1" min="10" max="10"/>
    <col width="15" customWidth="1" min="11" max="11"/>
    <col width="15" customWidth="1" min="12" max="12"/>
    <col width="19" customWidth="1" min="13" max="13"/>
    <col width="15" customWidth="1" min="14" max="14"/>
    <col width="19" customWidth="1" min="15" max="15"/>
    <col width="20" customWidth="1" min="16" max="16"/>
    <col width="15" customWidth="1" min="17" max="17"/>
    <col width="15" customWidth="1" min="18" max="18"/>
    <col width="18" customWidth="1" min="19" max="19"/>
    <col width="20" customWidth="1" min="20" max="20"/>
    <col width="14" customWidth="1" min="21" max="21"/>
    <col width="13" customWidth="1" min="22" max="22"/>
  </cols>
  <sheetData>
    <row r="1">
      <c r="A1" s="1" t="inlineStr">
        <is>
          <t>Budget</t>
        </is>
      </c>
      <c r="B1" s="2" t="inlineStr">
        <is>
          <t>بودجه اولیه در برابر عملکرد (Actual از Costing). Variance و Budget_vs_Actual زنده محاسبه می‌شوند.</t>
        </is>
      </c>
    </row>
    <row r="2">
      <c r="A2" s="3" t="inlineStr">
        <is>
          <t>System_ID</t>
        </is>
      </c>
      <c r="B2" s="3" t="inlineStr">
        <is>
          <t>Project_ID</t>
        </is>
      </c>
      <c r="C2" s="3" t="inlineStr">
        <is>
          <t>Revision</t>
        </is>
      </c>
      <c r="D2" s="3" t="inlineStr">
        <is>
          <t>Period</t>
        </is>
      </c>
      <c r="E2" s="3" t="inlineStr">
        <is>
          <t>Budget_Material</t>
        </is>
      </c>
      <c r="F2" s="3" t="inlineStr">
        <is>
          <t>Budget_Labor</t>
        </is>
      </c>
      <c r="G2" s="3" t="inlineStr">
        <is>
          <t>Budget_Overhead</t>
        </is>
      </c>
      <c r="H2" s="3" t="inlineStr">
        <is>
          <t>Budget_Procurement</t>
        </is>
      </c>
      <c r="I2" s="3" t="inlineStr">
        <is>
          <t>Budget_Logistics</t>
        </is>
      </c>
      <c r="J2" s="3" t="inlineStr">
        <is>
          <t>Budget_Tooling</t>
        </is>
      </c>
      <c r="K2" s="3" t="inlineStr">
        <is>
          <t>Budget_Other</t>
        </is>
      </c>
      <c r="L2" s="3" t="inlineStr">
        <is>
          <t>Total_Budget</t>
        </is>
      </c>
      <c r="M2" s="3" t="inlineStr">
        <is>
          <t>Actual_Material</t>
        </is>
      </c>
      <c r="N2" s="3" t="inlineStr">
        <is>
          <t>Actual_Labor</t>
        </is>
      </c>
      <c r="O2" s="3" t="inlineStr">
        <is>
          <t>Actual_Overhead</t>
        </is>
      </c>
      <c r="P2" s="3" t="inlineStr">
        <is>
          <t>Actual_Logistics</t>
        </is>
      </c>
      <c r="Q2" s="3" t="inlineStr">
        <is>
          <t>Actual_Other</t>
        </is>
      </c>
      <c r="R2" s="3" t="inlineStr">
        <is>
          <t>Actual_Total</t>
        </is>
      </c>
      <c r="S2" s="3" t="inlineStr">
        <is>
          <t>Variance_Total</t>
        </is>
      </c>
      <c r="T2" s="3" t="inlineStr">
        <is>
          <t>Budget_vs_Actual</t>
        </is>
      </c>
      <c r="U2" s="3" t="inlineStr">
        <is>
          <t>Create_Date</t>
        </is>
      </c>
      <c r="V2" s="3" t="inlineStr">
        <is>
          <t>Created_By</t>
        </is>
      </c>
    </row>
    <row r="3">
      <c r="A3" s="4" t="inlineStr">
        <is>
          <t>BDG-000245</t>
        </is>
      </c>
      <c r="B3" s="4" t="inlineStr">
        <is>
          <t>PRJ-2026-00125</t>
        </is>
      </c>
      <c r="C3" s="4" t="inlineStr">
        <is>
          <t>R01</t>
        </is>
      </c>
      <c r="D3" s="4" t="inlineStr">
        <is>
          <t>2026-Q4</t>
        </is>
      </c>
      <c r="E3" s="5" t="n">
        <v>4000000000</v>
      </c>
      <c r="F3" s="5" t="n">
        <v>350000000</v>
      </c>
      <c r="G3" s="5" t="n">
        <v>700000000</v>
      </c>
      <c r="H3" s="5" t="n">
        <v>200000000</v>
      </c>
      <c r="I3" s="5" t="n">
        <v>150000000</v>
      </c>
      <c r="J3" s="5" t="n">
        <v>100000000</v>
      </c>
      <c r="K3" s="5" t="n">
        <v>50000000</v>
      </c>
      <c r="L3" s="5">
        <f>SUM($E3:$K3)</f>
        <v/>
      </c>
      <c r="M3" s="4">
        <f>Costing!$G$3+Costing!$H$3</f>
        <v/>
      </c>
      <c r="N3" s="4">
        <f>Costing!$I$3</f>
        <v/>
      </c>
      <c r="O3" s="4">
        <f>Costing!$J$3</f>
        <v/>
      </c>
      <c r="P3" s="4">
        <f>Costing!$L$3+Costing!$M$3</f>
        <v/>
      </c>
      <c r="Q3" s="5">
        <f>Costing!$N$3+Costing!$O$3</f>
        <v/>
      </c>
      <c r="R3" s="5">
        <f>Costing!$Q$3</f>
        <v/>
      </c>
      <c r="S3" s="5">
        <f>$R3-$L3</f>
        <v/>
      </c>
      <c r="T3" s="5">
        <f>IF($L3=0,"",ROUND(($R3/$L3)-1,4))</f>
        <v/>
      </c>
      <c r="U3" s="10" t="n">
        <v>46290</v>
      </c>
      <c r="V3" s="10" t="inlineStr">
        <is>
          <t>USR-07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6" customWidth="1" min="4" max="4"/>
    <col width="14" customWidth="1" min="5" max="5"/>
    <col width="21" customWidth="1" min="6" max="6"/>
    <col width="18" customWidth="1" min="7" max="7"/>
    <col width="11" customWidth="1" min="8" max="8"/>
    <col width="22" customWidth="1" min="9" max="9"/>
    <col width="25" customWidth="1" min="10" max="10"/>
    <col width="19" customWidth="1" min="11" max="11"/>
    <col width="18" customWidth="1" min="12" max="12"/>
    <col width="14" customWidth="1" min="13" max="13"/>
    <col width="13" customWidth="1" min="14" max="14"/>
  </cols>
  <sheetData>
    <row r="1">
      <c r="A1" s="1" t="inlineStr">
        <is>
          <t>Payment_Terms</t>
        </is>
      </c>
      <c r="B1" s="2" t="inlineStr">
        <is>
          <t>شرایط پرداخت؛ هزینه مالی اعتبار = بخش اعتباری × نرخ سالانه × مدت/360 (در Sales_Quotation لحاظ می‌شود).</t>
        </is>
      </c>
    </row>
    <row r="2">
      <c r="A2" s="3" t="inlineStr">
        <is>
          <t>System_ID</t>
        </is>
      </c>
      <c r="B2" s="3" t="inlineStr">
        <is>
          <t>Quotation_ID</t>
        </is>
      </c>
      <c r="C2" s="3" t="inlineStr">
        <is>
          <t>Advance_Payment_%</t>
        </is>
      </c>
      <c r="D2" s="3" t="inlineStr">
        <is>
          <t>Payment_On_Delivery_%</t>
        </is>
      </c>
      <c r="E2" s="3" t="inlineStr">
        <is>
          <t>Credit_Days</t>
        </is>
      </c>
      <c r="F2" s="3" t="inlineStr">
        <is>
          <t>Installment_Terms</t>
        </is>
      </c>
      <c r="G2" s="3" t="inlineStr">
        <is>
          <t>Bank_Guarantee</t>
        </is>
      </c>
      <c r="H2" s="3" t="inlineStr">
        <is>
          <t>Currency</t>
        </is>
      </c>
      <c r="I2" s="3" t="inlineStr">
        <is>
          <t>Payment_Risk_Level</t>
        </is>
      </c>
      <c r="J2" s="3" t="inlineStr">
        <is>
          <t>Fin_Cost_Rate_Annual</t>
        </is>
      </c>
      <c r="K2" s="3" t="inlineStr">
        <is>
          <t>Fin_Cost_Amount</t>
        </is>
      </c>
      <c r="L2" s="3" t="inlineStr">
        <is>
          <t>Is_Active_FLAG</t>
        </is>
      </c>
      <c r="M2" s="3" t="inlineStr">
        <is>
          <t>Create_Date</t>
        </is>
      </c>
      <c r="N2" s="3" t="inlineStr">
        <is>
          <t>Created_By</t>
        </is>
      </c>
    </row>
    <row r="3">
      <c r="A3" s="4" t="inlineStr">
        <is>
          <t>PT-0001</t>
        </is>
      </c>
      <c r="B3" s="4" t="inlineStr">
        <is>
          <t>QUO-001</t>
        </is>
      </c>
      <c r="C3" s="16" t="n">
        <v>0.3</v>
      </c>
      <c r="D3" s="10" t="n">
        <v>0.1</v>
      </c>
      <c r="E3" s="14" t="n">
        <v>60</v>
      </c>
      <c r="F3" s="4" t="inlineStr"/>
      <c r="G3" s="4" t="inlineStr">
        <is>
          <t>SBLC 10%</t>
        </is>
      </c>
      <c r="H3" s="4" t="inlineStr">
        <is>
          <t>IRR</t>
        </is>
      </c>
      <c r="I3" s="8" t="inlineStr">
        <is>
          <t>Medium</t>
        </is>
      </c>
      <c r="J3" s="5">
        <f>Settings!$B$6</f>
        <v/>
      </c>
      <c r="K3" s="5">
        <f>IF(Sales_Quotation!$K$4=0,0,Sales_Quotation!$K$4)</f>
        <v/>
      </c>
      <c r="L3" s="4" t="n">
        <v>1</v>
      </c>
      <c r="M3" s="10" t="n">
        <v>46301</v>
      </c>
      <c r="N3" s="10" t="inlineStr">
        <is>
          <t>USR-01</t>
        </is>
      </c>
    </row>
  </sheetData>
  <dataValidations count="2">
    <dataValidation sqref="H3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I3" showDropDown="0" showInputMessage="0" showErrorMessage="1" allowBlank="1" errorTitle="Data Validation" error="مقدار خارج از فهرست مجاز است" promptTitle="Payment_Risk_Level" prompt="انتخاب از فهرست مجاز برای Payment_Risk_Level" type="list">
      <formula1>"Low,Medium,High"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1" customWidth="1" min="4" max="4"/>
    <col width="13" customWidth="1" min="5" max="5"/>
    <col width="13" customWidth="1" min="6" max="6"/>
    <col width="20" customWidth="1" min="7" max="7"/>
    <col width="16" customWidth="1" min="8" max="8"/>
    <col width="26" customWidth="1" min="9" max="9"/>
    <col width="19" customWidth="1" min="10" max="10"/>
    <col width="25" customWidth="1" min="11" max="11"/>
    <col width="27" customWidth="1" min="12" max="12"/>
    <col width="11" customWidth="1" min="13" max="13"/>
    <col width="13" customWidth="1" min="14" max="14"/>
    <col width="12" customWidth="1" min="15" max="15"/>
    <col width="14" customWidth="1" min="16" max="16"/>
    <col width="13" customWidth="1" min="17" max="17"/>
  </cols>
  <sheetData>
    <row r="1">
      <c r="A1" s="1" t="inlineStr">
        <is>
          <t>Sales_Quotation</t>
        </is>
      </c>
      <c r="B1" s="2" t="inlineStr">
        <is>
          <t>سناریوهای A/B/C. Proposed = Cost + Margin + Commercial + Risk + Financial (هزینه مالی اعتبار). هیچ سناریو بدون Basis_Memo معتبر نیست.</t>
        </is>
      </c>
    </row>
    <row r="2">
      <c r="A2" s="3" t="inlineStr">
        <is>
          <t>System_ID</t>
        </is>
      </c>
      <c r="B2" s="3" t="inlineStr">
        <is>
          <t>Project_ID</t>
        </is>
      </c>
      <c r="C2" s="3" t="inlineStr">
        <is>
          <t>Quotation_Code</t>
        </is>
      </c>
      <c r="D2" s="3" t="inlineStr">
        <is>
          <t>Scenario</t>
        </is>
      </c>
      <c r="E2" s="3" t="inlineStr">
        <is>
          <t>Costing_ID</t>
        </is>
      </c>
      <c r="F2" s="3" t="inlineStr">
        <is>
          <t>Total_Cost</t>
        </is>
      </c>
      <c r="G2" s="3" t="inlineStr">
        <is>
          <t>Desired_Margin_%</t>
        </is>
      </c>
      <c r="H2" s="3" t="inlineStr">
        <is>
          <t>Margin_Amount</t>
        </is>
      </c>
      <c r="I2" s="3" t="inlineStr">
        <is>
          <t>Commercial_Adjustment</t>
        </is>
      </c>
      <c r="J2" s="3" t="inlineStr">
        <is>
          <t>Risk_Adjustment</t>
        </is>
      </c>
      <c r="K2" s="3" t="inlineStr">
        <is>
          <t>Financial_Adjustment</t>
        </is>
      </c>
      <c r="L2" s="3" t="inlineStr">
        <is>
          <t>Proposed_Selling_Price</t>
        </is>
      </c>
      <c r="M2" s="3" t="inlineStr">
        <is>
          <t>Currency</t>
        </is>
      </c>
      <c r="N2" s="3" t="inlineStr">
        <is>
          <t>Basis_Memo</t>
        </is>
      </c>
      <c r="O2" s="3" t="inlineStr">
        <is>
          <t>Status_ID</t>
        </is>
      </c>
      <c r="P2" s="3" t="inlineStr">
        <is>
          <t>Create_Date</t>
        </is>
      </c>
      <c r="Q2" s="3" t="inlineStr">
        <is>
          <t>Created_By</t>
        </is>
      </c>
    </row>
    <row r="3">
      <c r="A3" s="4" t="inlineStr">
        <is>
          <t>QUO-2026-00125</t>
        </is>
      </c>
      <c r="B3" s="4" t="inlineStr">
        <is>
          <t>PRJ-2026-00125</t>
        </is>
      </c>
      <c r="C3" s="4" t="inlineStr">
        <is>
          <t>QUO-001</t>
        </is>
      </c>
      <c r="D3" s="4" t="inlineStr">
        <is>
          <t>Scenario A</t>
        </is>
      </c>
      <c r="E3" s="5" t="inlineStr">
        <is>
          <t>CST-000321</t>
        </is>
      </c>
      <c r="F3" s="5">
        <f>IF($D3&lt;&gt;"",XLOOKUP($E3,Costing!$A$3:$A$10,Costing!$Q$3:$Q$10,0),0)</f>
        <v/>
      </c>
      <c r="G3" s="16" t="n">
        <v>0.12</v>
      </c>
      <c r="H3" s="16">
        <f>ROUND($F3*$G3,0)</f>
        <v/>
      </c>
      <c r="I3" s="5" t="n">
        <v>20000000</v>
      </c>
      <c r="J3" s="5" t="n">
        <v>0</v>
      </c>
      <c r="K3" s="5">
        <f>ROUND((1-Payment_Terms!$C$3-Payment_Terms!$D$3)*$F3*Settings!$B$6*(Payment_Terms!$E$3/360),0)</f>
        <v/>
      </c>
      <c r="L3" s="5">
        <f>ROUND($F3+$H3+$I3+$J3+$K3,0)</f>
        <v/>
      </c>
      <c r="M3" s="4" t="inlineStr">
        <is>
          <t>IRR</t>
        </is>
      </c>
      <c r="N3" s="4" t="inlineStr">
        <is>
          <t>Margin 12% روی کل هزینه به علاوه پوشش هزینه بازرگانی؛ بدون تعدیل ریسک</t>
        </is>
      </c>
      <c r="O3" s="4" t="inlineStr">
        <is>
          <t>Submitted</t>
        </is>
      </c>
      <c r="P3" s="10" t="n">
        <v>46301</v>
      </c>
      <c r="Q3" s="10" t="inlineStr">
        <is>
          <t>USR-01</t>
        </is>
      </c>
    </row>
    <row r="4">
      <c r="A4" s="6" t="inlineStr">
        <is>
          <t>QUO-2026-00125</t>
        </is>
      </c>
      <c r="B4" s="6" t="inlineStr">
        <is>
          <t>PRJ-2026-00125</t>
        </is>
      </c>
      <c r="C4" s="6" t="inlineStr">
        <is>
          <t>QUO-001</t>
        </is>
      </c>
      <c r="D4" s="6" t="inlineStr">
        <is>
          <t>Scenario B</t>
        </is>
      </c>
      <c r="E4" s="7" t="inlineStr">
        <is>
          <t>CST-000321</t>
        </is>
      </c>
      <c r="F4" s="7">
        <f>IF($D4&lt;&gt;"",XLOOKUP($E4,Costing!$A$3:$A$10,Costing!$Q$3:$Q$10,0),0)</f>
        <v/>
      </c>
      <c r="G4" s="17" t="n">
        <v>0.1</v>
      </c>
      <c r="H4" s="17">
        <f>ROUND($F4*$G4,0)</f>
        <v/>
      </c>
      <c r="I4" s="7" t="n">
        <v>10000000</v>
      </c>
      <c r="J4" s="7" t="n">
        <v>15000000</v>
      </c>
      <c r="K4" s="7">
        <f>ROUND((1-Payment_Terms!$C$3-Payment_Terms!$D$3)*$F4*Settings!$B$6*(Payment_Terms!$E$3/360),0)</f>
        <v/>
      </c>
      <c r="L4" s="7">
        <f>ROUND($F4+$H4+$I4+$J4+$K4,0)</f>
        <v/>
      </c>
      <c r="M4" s="6" t="inlineStr">
        <is>
          <t>IRR</t>
        </is>
      </c>
      <c r="N4" s="6" t="inlineStr">
        <is>
          <t>Margin 10% + پوشش ریسک ارزی/زنجیره 15M؛ گزینه باثبات‌تر</t>
        </is>
      </c>
      <c r="O4" s="6" t="inlineStr">
        <is>
          <t>Submitted</t>
        </is>
      </c>
      <c r="P4" s="11" t="n">
        <v>46301</v>
      </c>
      <c r="Q4" s="11" t="inlineStr">
        <is>
          <t>USR-01</t>
        </is>
      </c>
    </row>
    <row r="5">
      <c r="A5" s="4" t="inlineStr">
        <is>
          <t>QUO-2026-00125</t>
        </is>
      </c>
      <c r="B5" s="4" t="inlineStr">
        <is>
          <t>PRJ-2026-00125</t>
        </is>
      </c>
      <c r="C5" s="4" t="inlineStr">
        <is>
          <t>QUO-001</t>
        </is>
      </c>
      <c r="D5" s="4" t="inlineStr">
        <is>
          <t>Scenario C</t>
        </is>
      </c>
      <c r="E5" s="5" t="inlineStr">
        <is>
          <t>CST-000321</t>
        </is>
      </c>
      <c r="F5" s="5">
        <f>IF($D5&lt;&gt;"",XLOOKUP($E5,Costing!$A$3:$A$10,Costing!$Q$3:$Q$10,0),0)</f>
        <v/>
      </c>
      <c r="G5" s="16" t="n">
        <v>0.15</v>
      </c>
      <c r="H5" s="16">
        <f>ROUND($F5*$G5,0)</f>
        <v/>
      </c>
      <c r="I5" s="5" t="n">
        <v>0</v>
      </c>
      <c r="J5" s="5" t="n">
        <v>30000000</v>
      </c>
      <c r="K5" s="5">
        <f>ROUND((1-Payment_Terms!$C$3-Payment_Terms!$D$3)*$F5*Settings!$B$6*(Payment_Terms!$E$3/360),0)</f>
        <v/>
      </c>
      <c r="L5" s="5">
        <f>ROUND($F5+$H5+$I5+$J5+$K5,0)</f>
        <v/>
      </c>
      <c r="M5" s="4" t="inlineStr">
        <is>
          <t>IRR</t>
        </is>
      </c>
      <c r="N5" s="4" t="inlineStr">
        <is>
          <t>Margin تهاجمی 15% + تعدیل ریسک بالاتر برای تأخیر تأمین</t>
        </is>
      </c>
      <c r="O5" s="4" t="inlineStr">
        <is>
          <t>Draft</t>
        </is>
      </c>
      <c r="P5" s="10" t="n">
        <v>46301</v>
      </c>
      <c r="Q5" s="10" t="inlineStr">
        <is>
          <t>USR-01</t>
        </is>
      </c>
    </row>
  </sheetData>
  <dataValidations count="2">
    <dataValidation sqref="M3:M5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O3:O5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3" customWidth="1" min="4" max="4"/>
    <col width="13" customWidth="1" min="5" max="5"/>
    <col width="16" customWidth="1" min="6" max="6"/>
    <col width="27" customWidth="1" min="7" max="7"/>
    <col width="18" customWidth="1" min="8" max="8"/>
    <col width="16" customWidth="1" min="9" max="9"/>
    <col width="12" customWidth="1" min="10" max="10"/>
    <col width="14" customWidth="1" min="11" max="11"/>
    <col width="13" customWidth="1" min="12" max="12"/>
  </cols>
  <sheetData>
    <row r="1">
      <c r="A1" s="1" t="inlineStr">
        <is>
          <t>Quotation_Versions</t>
        </is>
      </c>
      <c r="B1" s="2" t="inlineStr">
        <is>
          <t>نسخه‌های پیشنهاد؛ نسخه قبلی هرگز Overwrite نمی‌شود. (نمونه: نسخه V01 از سناریو B)</t>
        </is>
      </c>
    </row>
    <row r="2">
      <c r="A2" s="3" t="inlineStr">
        <is>
          <t>System_ID</t>
        </is>
      </c>
      <c r="B2" s="3" t="inlineStr">
        <is>
          <t>Quotation_ID</t>
        </is>
      </c>
      <c r="C2" s="3" t="inlineStr">
        <is>
          <t>Version_No</t>
        </is>
      </c>
      <c r="D2" s="3" t="inlineStr">
        <is>
          <t>Costing_Revision_ID</t>
        </is>
      </c>
      <c r="E2" s="3" t="inlineStr">
        <is>
          <t>Total_Cost</t>
        </is>
      </c>
      <c r="F2" s="3" t="inlineStr">
        <is>
          <t>Margin_Amount</t>
        </is>
      </c>
      <c r="G2" s="3" t="inlineStr">
        <is>
          <t>Proposed_Selling_Price</t>
        </is>
      </c>
      <c r="H2" s="3" t="inlineStr">
        <is>
          <t>Change_Summary</t>
        </is>
      </c>
      <c r="I2" s="3" t="inlineStr">
        <is>
          <t>Approved_Step</t>
        </is>
      </c>
      <c r="J2" s="3" t="inlineStr">
        <is>
          <t>Status_ID</t>
        </is>
      </c>
      <c r="K2" s="3" t="inlineStr">
        <is>
          <t>Create_Date</t>
        </is>
      </c>
      <c r="L2" s="3" t="inlineStr">
        <is>
          <t>Created_By</t>
        </is>
      </c>
    </row>
    <row r="3">
      <c r="A3" s="4" t="inlineStr">
        <is>
          <t>QUO-00125-V01</t>
        </is>
      </c>
      <c r="B3" s="4" t="inlineStr">
        <is>
          <t>QUO-001</t>
        </is>
      </c>
      <c r="C3" s="4" t="inlineStr">
        <is>
          <t>V01</t>
        </is>
      </c>
      <c r="D3" s="5" t="inlineStr">
        <is>
          <t>CST-000321</t>
        </is>
      </c>
      <c r="E3" s="5">
        <f>Sales_Quotation!$F$4</f>
        <v/>
      </c>
      <c r="F3" s="16">
        <f>Sales_Quotation!$H$4</f>
        <v/>
      </c>
      <c r="G3" s="5">
        <f>Sales_Quotation!$L$4</f>
        <v/>
      </c>
      <c r="H3" s="4" t="n"/>
      <c r="I3" s="4" t="n"/>
      <c r="J3" s="4" t="inlineStr">
        <is>
          <t>Approved</t>
        </is>
      </c>
      <c r="K3" s="10" t="n">
        <v>46301</v>
      </c>
      <c r="L3" s="10" t="inlineStr">
        <is>
          <t>USR-01</t>
        </is>
      </c>
    </row>
  </sheetData>
  <dataValidations count="1">
    <dataValidation sqref="J3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1" customWidth="1" min="4" max="4"/>
    <col width="18" customWidth="1" min="5" max="5"/>
    <col width="16" customWidth="1" min="6" max="6"/>
    <col width="11" customWidth="1" min="7" max="7"/>
    <col width="14" customWidth="1" min="8" max="8"/>
    <col width="12" customWidth="1" min="9" max="9"/>
    <col width="14" customWidth="1" min="10" max="10"/>
    <col width="13" customWidth="1" min="11" max="11"/>
  </cols>
  <sheetData>
    <row r="1">
      <c r="A1" s="1" t="inlineStr">
        <is>
          <t>Management_Approval</t>
        </is>
      </c>
      <c r="B1" s="2" t="inlineStr">
        <is>
          <t>تصمیم مدیریت ارشد: APPROVED / APPROVED WITH CONDITION / RETURN FOR REVISION / REJECTED.</t>
        </is>
      </c>
    </row>
    <row r="2">
      <c r="A2" s="3" t="inlineStr">
        <is>
          <t>System_ID</t>
        </is>
      </c>
      <c r="B2" s="3" t="inlineStr">
        <is>
          <t>Quotation_Version_ID</t>
        </is>
      </c>
      <c r="C2" s="3" t="inlineStr">
        <is>
          <t>Project_ID</t>
        </is>
      </c>
      <c r="D2" s="3" t="inlineStr">
        <is>
          <t>Decision</t>
        </is>
      </c>
      <c r="E2" s="3" t="inlineStr">
        <is>
          <t>Decision_Maker</t>
        </is>
      </c>
      <c r="F2" s="3" t="inlineStr">
        <is>
          <t>Decision_Date</t>
        </is>
      </c>
      <c r="G2" s="3" t="inlineStr">
        <is>
          <t>Comment</t>
        </is>
      </c>
      <c r="H2" s="3" t="inlineStr">
        <is>
          <t>Version_Ref</t>
        </is>
      </c>
      <c r="I2" s="3" t="inlineStr">
        <is>
          <t>Status_ID</t>
        </is>
      </c>
      <c r="J2" s="3" t="inlineStr">
        <is>
          <t>Create_Date</t>
        </is>
      </c>
      <c r="K2" s="3" t="inlineStr">
        <is>
          <t>Created_By</t>
        </is>
      </c>
    </row>
    <row r="3">
      <c r="A3" s="4" t="inlineStr">
        <is>
          <t>APR-000547</t>
        </is>
      </c>
      <c r="B3" s="4" t="inlineStr">
        <is>
          <t>QUO-00125-V01</t>
        </is>
      </c>
      <c r="C3" s="4" t="inlineStr">
        <is>
          <t>PRJ-2026-00125</t>
        </is>
      </c>
      <c r="D3" s="4" t="inlineStr">
        <is>
          <t>APPROVED WITH CONDITION</t>
        </is>
      </c>
      <c r="E3" s="4" t="inlineStr">
        <is>
          <t>USR-08</t>
        </is>
      </c>
      <c r="F3" s="10" t="n">
        <v>46302</v>
      </c>
      <c r="G3" s="4" t="inlineStr">
        <is>
          <t>مشروط به تأمین مکانیکال سیل قبل از ۱۵ آبان و تعهد کتبی بلبرینگ</t>
        </is>
      </c>
      <c r="H3" s="4" t="inlineStr">
        <is>
          <t>QUO-00125-V01</t>
        </is>
      </c>
      <c r="I3" s="4" t="inlineStr">
        <is>
          <t>Approved</t>
        </is>
      </c>
      <c r="J3" s="10" t="n">
        <v>46302</v>
      </c>
      <c r="K3" s="10" t="inlineStr">
        <is>
          <t>USR-08</t>
        </is>
      </c>
    </row>
  </sheetData>
  <dataValidations count="2">
    <dataValidation sqref="D3" showDropDown="0" showInputMessage="0" showErrorMessage="1" allowBlank="1" errorTitle="Data Validation" error="مقدار خارج از فهرست مجاز است" promptTitle="Decision" prompt="انتخاب از فهرست مجاز برای Decision" type="list">
      <formula1>"APPROVED,APPROVED WITH CONDITION,RETURN FOR REVISION,REJECTED"</formula1>
    </dataValidation>
    <dataValidation sqref="I3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1" customWidth="1" min="8" max="8"/>
    <col width="11" customWidth="1" min="9" max="9"/>
  </cols>
  <sheetData>
    <row r="1">
      <c r="A1" s="1" t="inlineStr">
        <is>
          <t>Workflow_History</t>
        </is>
      </c>
      <c r="B1" s="2" t="inlineStr">
        <is>
          <t>لاگ انتقال وضعیت — پایه Audit (چه کسی / چه زمانی / از چه وضعیتی / به چه وضعیتی).</t>
        </is>
      </c>
    </row>
    <row r="2">
      <c r="A2" s="3" t="inlineStr">
        <is>
          <t>Workflow_History_ID</t>
        </is>
      </c>
      <c r="B2" s="3" t="inlineStr">
        <is>
          <t>Project_ID</t>
        </is>
      </c>
      <c r="C2" s="3" t="inlineStr">
        <is>
          <t>Entity_Type</t>
        </is>
      </c>
      <c r="D2" s="3" t="inlineStr">
        <is>
          <t>Entity_ID</t>
        </is>
      </c>
      <c r="E2" s="3" t="inlineStr">
        <is>
          <t>From_Status</t>
        </is>
      </c>
      <c r="F2" s="3" t="inlineStr">
        <is>
          <t>To_Status</t>
        </is>
      </c>
      <c r="G2" s="3" t="inlineStr">
        <is>
          <t>Action_Date</t>
        </is>
      </c>
      <c r="H2" s="3" t="inlineStr">
        <is>
          <t>User_ID</t>
        </is>
      </c>
      <c r="I2" s="3" t="inlineStr">
        <is>
          <t>Comment</t>
        </is>
      </c>
    </row>
    <row r="3">
      <c r="A3" s="4" t="inlineStr">
        <is>
          <t>WFH-000001</t>
        </is>
      </c>
      <c r="B3" s="4" t="inlineStr">
        <is>
          <t>PRJ-2026-00125</t>
        </is>
      </c>
      <c r="C3" s="4" t="inlineStr">
        <is>
          <t>Order</t>
        </is>
      </c>
      <c r="D3" s="4" t="inlineStr">
        <is>
          <t>ORD-2026-00321</t>
        </is>
      </c>
      <c r="E3" s="4" t="inlineStr">
        <is>
          <t>Draft</t>
        </is>
      </c>
      <c r="F3" s="4" t="inlineStr">
        <is>
          <t>In Review</t>
        </is>
      </c>
      <c r="G3" s="10" t="n">
        <v>46285</v>
      </c>
      <c r="H3" s="4" t="inlineStr">
        <is>
          <t>USR-02</t>
        </is>
      </c>
      <c r="I3" s="4" t="inlineStr">
        <is>
          <t>ثبت سفارش</t>
        </is>
      </c>
    </row>
    <row r="4">
      <c r="A4" s="6" t="inlineStr">
        <is>
          <t>WFH-000002</t>
        </is>
      </c>
      <c r="B4" s="6" t="inlineStr">
        <is>
          <t>PRJ-2026-00125</t>
        </is>
      </c>
      <c r="C4" s="6" t="inlineStr">
        <is>
          <t>Order</t>
        </is>
      </c>
      <c r="D4" s="6" t="inlineStr">
        <is>
          <t>ORD-2026-00321</t>
        </is>
      </c>
      <c r="E4" s="6" t="inlineStr">
        <is>
          <t>In Review</t>
        </is>
      </c>
      <c r="F4" s="6" t="inlineStr">
        <is>
          <t>Approved</t>
        </is>
      </c>
      <c r="G4" s="11" t="n">
        <v>46286</v>
      </c>
      <c r="H4" s="6" t="inlineStr">
        <is>
          <t>USR-01</t>
        </is>
      </c>
      <c r="I4" s="6" t="inlineStr">
        <is>
          <t>کنترل اولیه تأیید شد</t>
        </is>
      </c>
    </row>
    <row r="5">
      <c r="A5" s="4" t="inlineStr">
        <is>
          <t>WFH-000003</t>
        </is>
      </c>
      <c r="B5" s="4" t="inlineStr">
        <is>
          <t>PRJ-2026-00125</t>
        </is>
      </c>
      <c r="C5" s="4" t="inlineStr">
        <is>
          <t>Project</t>
        </is>
      </c>
      <c r="D5" s="4" t="inlineStr">
        <is>
          <t>PRJ-2026-00125</t>
        </is>
      </c>
      <c r="E5" s="4" t="inlineStr">
        <is>
          <t>Draft</t>
        </is>
      </c>
      <c r="F5" s="4" t="inlineStr">
        <is>
          <t>Approved</t>
        </is>
      </c>
      <c r="G5" s="10" t="n">
        <v>46286</v>
      </c>
      <c r="H5" s="4" t="inlineStr">
        <is>
          <t>USR-03</t>
        </is>
      </c>
      <c r="I5" s="4" t="inlineStr">
        <is>
          <t>تأسیس پروژه</t>
        </is>
      </c>
    </row>
    <row r="6">
      <c r="A6" s="6" t="inlineStr">
        <is>
          <t>WFH-000004</t>
        </is>
      </c>
      <c r="B6" s="6" t="inlineStr">
        <is>
          <t>PRJ-2026-00125</t>
        </is>
      </c>
      <c r="C6" s="6" t="inlineStr">
        <is>
          <t>BOM</t>
        </is>
      </c>
      <c r="D6" s="6" t="inlineStr">
        <is>
          <t>BOM-000215-R05</t>
        </is>
      </c>
      <c r="E6" s="6" t="inlineStr">
        <is>
          <t>Waiting Approval</t>
        </is>
      </c>
      <c r="F6" s="6" t="inlineStr">
        <is>
          <t>Approved</t>
        </is>
      </c>
      <c r="G6" s="11" t="n">
        <v>46295</v>
      </c>
      <c r="H6" s="6" t="inlineStr">
        <is>
          <t>USR-04</t>
        </is>
      </c>
      <c r="I6" s="6" t="inlineStr">
        <is>
          <t>تأیید BOM R05</t>
        </is>
      </c>
    </row>
    <row r="7">
      <c r="A7" s="4" t="inlineStr">
        <is>
          <t>WFH-000005</t>
        </is>
      </c>
      <c r="B7" s="4" t="inlineStr">
        <is>
          <t>PRJ-2026-00125</t>
        </is>
      </c>
      <c r="C7" s="4" t="inlineStr">
        <is>
          <t>Quotation</t>
        </is>
      </c>
      <c r="D7" s="4" t="inlineStr">
        <is>
          <t>QUO-2026-00125</t>
        </is>
      </c>
      <c r="E7" s="4" t="inlineStr">
        <is>
          <t>Draft</t>
        </is>
      </c>
      <c r="F7" s="4" t="inlineStr">
        <is>
          <t>Submitted</t>
        </is>
      </c>
      <c r="G7" s="10" t="n">
        <v>46300</v>
      </c>
      <c r="H7" s="4" t="inlineStr">
        <is>
          <t>USR-01</t>
        </is>
      </c>
      <c r="I7" s="4" t="inlineStr">
        <is>
          <t>ارسال به مدیریت</t>
        </is>
      </c>
    </row>
    <row r="8">
      <c r="A8" s="6" t="inlineStr">
        <is>
          <t>WFH-000006</t>
        </is>
      </c>
      <c r="B8" s="6" t="inlineStr">
        <is>
          <t>PRJ-2026-00125</t>
        </is>
      </c>
      <c r="C8" s="6" t="inlineStr">
        <is>
          <t>Approval</t>
        </is>
      </c>
      <c r="D8" s="6" t="inlineStr">
        <is>
          <t>APR-000547</t>
        </is>
      </c>
      <c r="E8" s="6" t="inlineStr">
        <is>
          <t>Waiting Approval</t>
        </is>
      </c>
      <c r="F8" s="6" t="inlineStr">
        <is>
          <t>Approved</t>
        </is>
      </c>
      <c r="G8" s="11" t="n">
        <v>46302</v>
      </c>
      <c r="H8" s="6" t="inlineStr">
        <is>
          <t>USR-08</t>
        </is>
      </c>
      <c r="I8" s="6" t="inlineStr">
        <is>
          <t>تصویب مشروط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6" customWidth="1" min="8" max="8"/>
    <col width="13" customWidth="1" min="9" max="9"/>
    <col width="14" customWidth="1" min="10" max="10"/>
    <col width="18" customWidth="1" min="11" max="11"/>
    <col width="14" customWidth="1" min="12" max="12"/>
    <col width="13" customWidth="1" min="13" max="13"/>
  </cols>
  <sheetData>
    <row r="1">
      <c r="A1" s="1" t="inlineStr">
        <is>
          <t>Change_Log</t>
        </is>
      </c>
      <c r="B1" s="2" t="inlineStr">
        <is>
          <t>کنترل تغییرات — هر تغییر پس از تأیید Revision جدید می‌سازد؛ مقدار قبلی ثبت می‌ماند.</t>
        </is>
      </c>
    </row>
    <row r="2">
      <c r="A2" s="3" t="inlineStr">
        <is>
          <t>Change_Log_ID</t>
        </is>
      </c>
      <c r="B2" s="3" t="inlineStr">
        <is>
          <t>Project_ID</t>
        </is>
      </c>
      <c r="C2" s="3" t="inlineStr">
        <is>
          <t>Entity_Type</t>
        </is>
      </c>
      <c r="D2" s="3" t="inlineStr">
        <is>
          <t>Entity_ID</t>
        </is>
      </c>
      <c r="E2" s="3" t="inlineStr">
        <is>
          <t>Field_Changed</t>
        </is>
      </c>
      <c r="F2" s="3" t="inlineStr">
        <is>
          <t>Old_Value</t>
        </is>
      </c>
      <c r="G2" s="3" t="inlineStr">
        <is>
          <t>New_Value</t>
        </is>
      </c>
      <c r="H2" s="3" t="inlineStr">
        <is>
          <t>Change_Reason</t>
        </is>
      </c>
      <c r="I2" s="3" t="inlineStr">
        <is>
          <t>Changed_By</t>
        </is>
      </c>
      <c r="J2" s="3" t="inlineStr">
        <is>
          <t>Change_Date</t>
        </is>
      </c>
      <c r="K2" s="3" t="inlineStr">
        <is>
          <t>Revision_After</t>
        </is>
      </c>
      <c r="L2" s="3" t="inlineStr">
        <is>
          <t>Create_Date</t>
        </is>
      </c>
      <c r="M2" s="3" t="inlineStr">
        <is>
          <t>Created_By</t>
        </is>
      </c>
    </row>
    <row r="3">
      <c r="A3" s="4" t="inlineStr">
        <is>
          <t>CHG-001245</t>
        </is>
      </c>
      <c r="B3" s="4" t="inlineStr">
        <is>
          <t>PRJ-2026-00125</t>
        </is>
      </c>
      <c r="C3" s="4" t="inlineStr">
        <is>
          <t>BOM</t>
        </is>
      </c>
      <c r="D3" s="4" t="inlineStr">
        <is>
          <t>BOM-000216</t>
        </is>
      </c>
      <c r="E3" s="4" t="inlineStr">
        <is>
          <t>Material</t>
        </is>
      </c>
      <c r="F3" s="5" t="inlineStr">
        <is>
          <t>MAT-001545</t>
        </is>
      </c>
      <c r="G3" s="5" t="inlineStr">
        <is>
          <t>MAT-001545</t>
        </is>
      </c>
      <c r="H3" s="4" t="inlineStr">
        <is>
          <t>تایید تامین‌کننده جدید مکانیکال سیل</t>
        </is>
      </c>
      <c r="I3" s="4" t="inlineStr">
        <is>
          <t>USR-04</t>
        </is>
      </c>
      <c r="J3" s="10" t="n">
        <v>46293</v>
      </c>
      <c r="K3" s="4" t="inlineStr">
        <is>
          <t>R05</t>
        </is>
      </c>
      <c r="L3" s="10" t="n">
        <v>46293</v>
      </c>
      <c r="M3" s="10" t="inlineStr">
        <is>
          <t>USR-04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1" customWidth="1" min="4" max="4"/>
    <col width="11" customWidth="1" min="5" max="5"/>
    <col width="19" customWidth="1" min="6" max="6"/>
    <col width="11" customWidth="1" min="7" max="7"/>
    <col width="11" customWidth="1" min="8" max="8"/>
    <col width="14" customWidth="1" min="9" max="9"/>
    <col width="14" customWidth="1" min="10" max="10"/>
    <col width="13" customWidth="1" min="11" max="11"/>
  </cols>
  <sheetData>
    <row r="1">
      <c r="A1" s="1" t="inlineStr">
        <is>
          <t>Issues</t>
        </is>
      </c>
      <c r="B1" s="2" t="inlineStr">
        <is>
          <t>ثبت ریسک/خطا با مالک و اقدام لازم.</t>
        </is>
      </c>
    </row>
    <row r="2">
      <c r="A2" s="3" t="inlineStr">
        <is>
          <t>Issue_ID</t>
        </is>
      </c>
      <c r="B2" s="3" t="inlineStr">
        <is>
          <t>Project_ID</t>
        </is>
      </c>
      <c r="C2" s="3" t="inlineStr">
        <is>
          <t>Error_Code</t>
        </is>
      </c>
      <c r="D2" s="3" t="inlineStr">
        <is>
          <t>Error_Description</t>
        </is>
      </c>
      <c r="E2" s="3" t="inlineStr">
        <is>
          <t>Owner</t>
        </is>
      </c>
      <c r="F2" s="3" t="inlineStr">
        <is>
          <t>Required_Action</t>
        </is>
      </c>
      <c r="G2" s="3" t="inlineStr">
        <is>
          <t>Status</t>
        </is>
      </c>
      <c r="H2" s="3" t="inlineStr">
        <is>
          <t>Severity</t>
        </is>
      </c>
      <c r="I2" s="3" t="inlineStr">
        <is>
          <t>Raised_Date</t>
        </is>
      </c>
      <c r="J2" s="3" t="inlineStr">
        <is>
          <t>Create_Date</t>
        </is>
      </c>
      <c r="K2" s="3" t="inlineStr">
        <is>
          <t>Created_By</t>
        </is>
      </c>
    </row>
    <row r="3">
      <c r="A3" s="4" t="inlineStr">
        <is>
          <t>ISS-000215</t>
        </is>
      </c>
      <c r="B3" s="4" t="inlineStr">
        <is>
          <t>PRJ-2026-00125</t>
        </is>
      </c>
      <c r="C3" s="4" t="inlineStr">
        <is>
          <t>IG-02</t>
        </is>
      </c>
      <c r="D3" s="10" t="inlineStr">
        <is>
          <t>قیمت شفت (MAT-001547) در تاریخ ۱۵ اکتبر منقضی می‌شود؛ نیاز به تمدید</t>
        </is>
      </c>
      <c r="E3" s="4" t="inlineStr">
        <is>
          <t>USR-06</t>
        </is>
      </c>
      <c r="F3" s="4" t="inlineStr">
        <is>
          <t>استعلام مجدد قبل از ۱۰ اکتبر</t>
        </is>
      </c>
      <c r="G3" s="4" t="inlineStr">
        <is>
          <t>Open</t>
        </is>
      </c>
      <c r="H3" s="4" t="inlineStr">
        <is>
          <t>Medium</t>
        </is>
      </c>
      <c r="I3" s="10" t="n">
        <v>46287</v>
      </c>
      <c r="J3" s="10" t="n">
        <v>46287</v>
      </c>
      <c r="K3" s="10" t="inlineStr">
        <is>
          <t>USR-03</t>
        </is>
      </c>
    </row>
    <row r="4">
      <c r="A4" s="6" t="inlineStr">
        <is>
          <t>ISS-000216</t>
        </is>
      </c>
      <c r="B4" s="6" t="inlineStr"/>
      <c r="C4" s="6" t="inlineStr">
        <is>
          <t>E-001</t>
        </is>
      </c>
      <c r="D4" s="11" t="inlineStr">
        <is>
          <t>سفارش ORD-2026-00323 ناقص است (تاریخ تحویل و شرایط پرداخت ندارد)</t>
        </is>
      </c>
      <c r="E4" s="6" t="inlineStr">
        <is>
          <t>USR-02</t>
        </is>
      </c>
      <c r="F4" s="6" t="inlineStr">
        <is>
          <t>تکمیل اطلاعات سفارش قبل از ورود به مهندسی</t>
        </is>
      </c>
      <c r="G4" s="6" t="inlineStr">
        <is>
          <t>Open</t>
        </is>
      </c>
      <c r="H4" s="6" t="inlineStr">
        <is>
          <t>High</t>
        </is>
      </c>
      <c r="I4" s="11" t="n">
        <v>46287</v>
      </c>
      <c r="J4" s="11" t="n">
        <v>46287</v>
      </c>
      <c r="K4" s="11" t="inlineStr">
        <is>
          <t>USR-03</t>
        </is>
      </c>
    </row>
  </sheetData>
  <dataValidations count="2">
    <dataValidation sqref="G3:G4" showDropDown="0" showInputMessage="0" showErrorMessage="1" allowBlank="1" errorTitle="Data Validation" error="مقدار خارج از فهرست مجاز است" promptTitle="Status" prompt="انتخاب از فهرست مجاز برای Status" type="list">
      <formula1>"Draft,In Review,Waiting Approval,Approved,Rejected,Returned,Closed,Cancelled"</formula1>
    </dataValidation>
    <dataValidation sqref="H3:H4" showDropDown="0" showInputMessage="0" showErrorMessage="1" allowBlank="1" errorTitle="Data Validation" error="مقدار خارج از فهرست مجاز است" promptTitle="Severity" prompt="انتخاب از فهرست مجاز برای Severity" type="list">
      <formula1>"Low,Medium,High,Critical"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1" customWidth="1" min="4" max="4"/>
    <col width="11" customWidth="1" min="5" max="5"/>
    <col width="18" customWidth="1" min="6" max="6"/>
    <col width="11" customWidth="1" min="7" max="7"/>
    <col width="19" customWidth="1" min="8" max="8"/>
    <col width="11" customWidth="1" min="9" max="9"/>
    <col width="14" customWidth="1" min="10" max="10"/>
    <col width="13" customWidth="1" min="11" max="11"/>
  </cols>
  <sheetData>
    <row r="1">
      <c r="A1" s="1" t="inlineStr">
        <is>
          <t>Error_Checks</t>
        </is>
      </c>
      <c r="B1" s="2" t="inlineStr">
        <is>
          <t>کنترل‌های خودکار (Error/Exception Handling). Formula_Result زنده محاسبه می‌شود.</t>
        </is>
      </c>
    </row>
    <row r="2">
      <c r="A2" s="3" t="inlineStr">
        <is>
          <t>Rule_Key</t>
        </is>
      </c>
      <c r="B2" s="3" t="inlineStr">
        <is>
          <t>Error_Code</t>
        </is>
      </c>
      <c r="C2" s="3" t="inlineStr">
        <is>
          <t>Check_Description</t>
        </is>
      </c>
      <c r="D2" s="3" t="inlineStr">
        <is>
          <t>Severity</t>
        </is>
      </c>
      <c r="E2" s="3" t="inlineStr">
        <is>
          <t>Owner</t>
        </is>
      </c>
      <c r="F2" s="3" t="inlineStr">
        <is>
          <t>Formula_Result</t>
        </is>
      </c>
      <c r="G2" s="3" t="inlineStr">
        <is>
          <t>Message</t>
        </is>
      </c>
      <c r="H2" s="3" t="inlineStr">
        <is>
          <t>Required_Action</t>
        </is>
      </c>
      <c r="I2" s="3" t="inlineStr">
        <is>
          <t>Status</t>
        </is>
      </c>
      <c r="J2" s="3" t="inlineStr">
        <is>
          <t>Create_Date</t>
        </is>
      </c>
      <c r="K2" s="3" t="inlineStr">
        <is>
          <t>Created_By</t>
        </is>
      </c>
    </row>
    <row r="3">
      <c r="A3" s="4" t="inlineStr">
        <is>
          <t>DK-01</t>
        </is>
      </c>
      <c r="B3" s="4" t="inlineStr">
        <is>
          <t>E-018</t>
        </is>
      </c>
      <c r="C3" s="10" t="inlineStr">
        <is>
          <t>Duplicate Order_ID</t>
        </is>
      </c>
      <c r="D3" s="4" t="inlineStr">
        <is>
          <t>Error</t>
        </is>
      </c>
      <c r="E3" s="4" t="inlineStr">
        <is>
          <t>Sales</t>
        </is>
      </c>
      <c r="F3" s="4">
        <f>IF(COUNTIF(Orders!$S$3:$S$1000,"DUP")&gt;0,"ERROR","OK")</f>
        <v/>
      </c>
      <c r="G3" s="4" t="inlineStr">
        <is>
          <t>شناسه سفارش تکراری است</t>
        </is>
      </c>
      <c r="H3" s="4" t="inlineStr">
        <is>
          <t>بررسی و اصلاح</t>
        </is>
      </c>
      <c r="I3" s="4" t="inlineStr">
        <is>
          <t>Open</t>
        </is>
      </c>
      <c r="J3" s="10" t="n">
        <v>46287</v>
      </c>
      <c r="K3" s="10" t="inlineStr">
        <is>
          <t>USR-09</t>
        </is>
      </c>
    </row>
    <row r="4">
      <c r="A4" s="6" t="inlineStr">
        <is>
          <t>G1</t>
        </is>
      </c>
      <c r="B4" s="6" t="inlineStr">
        <is>
          <t>E-001</t>
        </is>
      </c>
      <c r="C4" s="11" t="inlineStr">
        <is>
          <t>سفارش ناقص (Ready_Flag)</t>
        </is>
      </c>
      <c r="D4" s="6" t="inlineStr">
        <is>
          <t>Block</t>
        </is>
      </c>
      <c r="E4" s="6" t="inlineStr">
        <is>
          <t>Sales</t>
        </is>
      </c>
      <c r="F4" s="6">
        <f>IF(COUNTIF(Orders!$R$3:$R$5,"INCOMPLETE")&gt;0,"BLOCKED","OK")</f>
        <v/>
      </c>
      <c r="G4" s="6" t="inlineStr">
        <is>
          <t>هر سفارش باید Ready_Flag=READY باشد تا وارد مهندسی شود</t>
        </is>
      </c>
      <c r="H4" s="6" t="inlineStr">
        <is>
          <t>تکمیل اطلاعات</t>
        </is>
      </c>
      <c r="I4" s="6" t="inlineStr">
        <is>
          <t>Open</t>
        </is>
      </c>
      <c r="J4" s="11" t="n">
        <v>46287</v>
      </c>
      <c r="K4" s="11" t="inlineStr">
        <is>
          <t>USR-09</t>
        </is>
      </c>
    </row>
    <row r="5">
      <c r="A5" s="4" t="inlineStr">
        <is>
          <t>DK-02</t>
        </is>
      </c>
      <c r="B5" s="4" t="inlineStr">
        <is>
          <t>E-019</t>
        </is>
      </c>
      <c r="C5" s="10" t="inlineStr">
        <is>
          <t>Duplicate BOM_ID+Revision</t>
        </is>
      </c>
      <c r="D5" s="4" t="inlineStr">
        <is>
          <t>Error</t>
        </is>
      </c>
      <c r="E5" s="4" t="inlineStr">
        <is>
          <t>Engineering</t>
        </is>
      </c>
      <c r="F5" s="4">
        <f>IF(MAX(COUNTIFS(BOM_Header!$B$3:$B$5,BOM_Header!$B$3:$B$5,BOM_Header!$D$3:$D$5,BOM_Header!$D$3:$D$5))&gt;1,"ERROR","OK")</f>
        <v/>
      </c>
      <c r="G5" s="4" t="inlineStr">
        <is>
          <t>ترکیب BOM_ID+Revision تکراری است</t>
        </is>
      </c>
      <c r="H5" s="4" t="inlineStr">
        <is>
          <t>صدور Revision جدید</t>
        </is>
      </c>
      <c r="I5" s="4" t="inlineStr">
        <is>
          <t>Open</t>
        </is>
      </c>
      <c r="J5" s="10" t="n">
        <v>46287</v>
      </c>
      <c r="K5" s="10" t="inlineStr">
        <is>
          <t>USR-09</t>
        </is>
      </c>
    </row>
    <row r="6">
      <c r="A6" s="6" t="inlineStr">
        <is>
          <t>G2</t>
        </is>
      </c>
      <c r="B6" s="6" t="inlineStr">
        <is>
          <t>E-002</t>
        </is>
      </c>
      <c r="C6" s="11" t="inlineStr">
        <is>
          <t>BOM بدون Revision فعال</t>
        </is>
      </c>
      <c r="D6" s="6" t="inlineStr">
        <is>
          <t>Block</t>
        </is>
      </c>
      <c r="E6" s="6" t="inlineStr">
        <is>
          <t>Engineering</t>
        </is>
      </c>
      <c r="F6" s="6">
        <f>IF(COUNTIF(BOM_Header!$I$3:$I$5,"Approved")&gt;0,"OK","BLOCKED")</f>
        <v/>
      </c>
      <c r="G6" s="6" t="inlineStr">
        <is>
          <t>بدون BOM Revision تأییدشده نمی‌توان وارد Planning شد</t>
        </is>
      </c>
      <c r="H6" s="6" t="inlineStr">
        <is>
          <t>تأیید BOM</t>
        </is>
      </c>
      <c r="I6" s="6" t="inlineStr">
        <is>
          <t>Open</t>
        </is>
      </c>
      <c r="J6" s="11" t="n">
        <v>46287</v>
      </c>
      <c r="K6" s="11" t="inlineStr">
        <is>
          <t>USR-09</t>
        </is>
      </c>
    </row>
    <row r="7">
      <c r="A7" s="4" t="inlineStr">
        <is>
          <t>PX-01</t>
        </is>
      </c>
      <c r="B7" s="4" t="inlineStr">
        <is>
          <t>E-003</t>
        </is>
      </c>
      <c r="C7" s="10" t="inlineStr">
        <is>
          <t>قیمت خرید بدون تاریخ</t>
        </is>
      </c>
      <c r="D7" s="4" t="inlineStr">
        <is>
          <t>Error</t>
        </is>
      </c>
      <c r="E7" s="4" t="inlineStr">
        <is>
          <t>Procurement</t>
        </is>
      </c>
      <c r="F7" s="4">
        <f>IF(COUNTIF(Purchase_Prices!$E$3:$E$10,"")&gt;0,"ERROR","OK")</f>
        <v/>
      </c>
      <c r="G7" s="4" t="inlineStr">
        <is>
          <t>قیمتی بدون تاریخ وجود دارد</t>
        </is>
      </c>
      <c r="H7" s="4" t="inlineStr">
        <is>
          <t>ثبت Price_Date</t>
        </is>
      </c>
      <c r="I7" s="4" t="inlineStr">
        <is>
          <t>Open</t>
        </is>
      </c>
      <c r="J7" s="10" t="n">
        <v>46287</v>
      </c>
      <c r="K7" s="10" t="inlineStr">
        <is>
          <t>USR-09</t>
        </is>
      </c>
    </row>
    <row r="8">
      <c r="A8" s="6" t="inlineStr">
        <is>
          <t>PX-02</t>
        </is>
      </c>
      <c r="B8" s="6" t="inlineStr">
        <is>
          <t>E-004</t>
        </is>
      </c>
      <c r="C8" s="11" t="inlineStr">
        <is>
          <t>قیمت بدون منبع</t>
        </is>
      </c>
      <c r="D8" s="6" t="inlineStr">
        <is>
          <t>Error</t>
        </is>
      </c>
      <c r="E8" s="6" t="inlineStr">
        <is>
          <t>Procurement</t>
        </is>
      </c>
      <c r="F8" s="6">
        <f>IF(COUNTIF(Purchase_Prices!$F$3:$F$10,"")&gt;0,"ERROR","OK")</f>
        <v/>
      </c>
      <c r="G8" s="6" t="inlineStr">
        <is>
          <t>قیمتی بدون منبع وجود دارد</t>
        </is>
      </c>
      <c r="H8" s="6" t="inlineStr">
        <is>
          <t>ثبت Price_Source</t>
        </is>
      </c>
      <c r="I8" s="6" t="inlineStr">
        <is>
          <t>Open</t>
        </is>
      </c>
      <c r="J8" s="11" t="n">
        <v>46287</v>
      </c>
      <c r="K8" s="11" t="inlineStr">
        <is>
          <t>USR-09</t>
        </is>
      </c>
    </row>
    <row r="9">
      <c r="A9" s="4" t="inlineStr">
        <is>
          <t>PX-05</t>
        </is>
      </c>
      <c r="B9" s="4" t="inlineStr">
        <is>
          <t>E-010</t>
        </is>
      </c>
      <c r="C9" s="10" t="inlineStr">
        <is>
          <t>قیمت منقضی</t>
        </is>
      </c>
      <c r="D9" s="4" t="inlineStr">
        <is>
          <t>Warning</t>
        </is>
      </c>
      <c r="E9" s="4" t="inlineStr">
        <is>
          <t>Procurement</t>
        </is>
      </c>
      <c r="F9" s="4">
        <f>IF(COUNTIF(Purchase_Prices!$R$3:$R$10,1)&gt;0,"WARN","OK")</f>
        <v/>
      </c>
      <c r="G9" s="4" t="inlineStr">
        <is>
          <t>یک یا چند قیمت منقضی شده و از Costing کنار گذاشته می‌شود</t>
        </is>
      </c>
      <c r="H9" s="4" t="inlineStr">
        <is>
          <t>استعلام/تمدید قیمت</t>
        </is>
      </c>
      <c r="I9" s="4" t="inlineStr">
        <is>
          <t>Open</t>
        </is>
      </c>
      <c r="J9" s="10" t="n">
        <v>46287</v>
      </c>
      <c r="K9" s="10" t="inlineStr">
        <is>
          <t>USR-09</t>
        </is>
      </c>
    </row>
    <row r="10">
      <c r="A10" s="6" t="inlineStr">
        <is>
          <t>PX-03</t>
        </is>
      </c>
      <c r="B10" s="6" t="inlineStr">
        <is>
          <t>E-007</t>
        </is>
      </c>
      <c r="C10" s="11" t="inlineStr">
        <is>
          <t>قیمت منفی</t>
        </is>
      </c>
      <c r="D10" s="6" t="inlineStr">
        <is>
          <t>Error</t>
        </is>
      </c>
      <c r="E10" s="6" t="inlineStr">
        <is>
          <t>Finance</t>
        </is>
      </c>
      <c r="F10" s="6">
        <f>IF(COUNTIF(Purchase_Prices!$I$3:$I$10,"&lt;0")&gt;0,"ERROR","OK")</f>
        <v/>
      </c>
      <c r="G10" s="6" t="inlineStr">
        <is>
          <t>قیمت منفی ثبت شده است</t>
        </is>
      </c>
      <c r="H10" s="6" t="inlineStr">
        <is>
          <t>اصلاح قیمت</t>
        </is>
      </c>
      <c r="I10" s="6" t="inlineStr">
        <is>
          <t>Open</t>
        </is>
      </c>
      <c r="J10" s="11" t="n">
        <v>46287</v>
      </c>
      <c r="K10" s="11" t="inlineStr">
        <is>
          <t>USR-09</t>
        </is>
      </c>
    </row>
    <row r="11">
      <c r="A11" s="4" t="inlineStr">
        <is>
          <t>RV-01</t>
        </is>
      </c>
      <c r="B11" s="4" t="inlineStr">
        <is>
          <t>E-015</t>
        </is>
      </c>
      <c r="C11" s="10" t="inlineStr">
        <is>
          <t>تغییر پس از Approval</t>
        </is>
      </c>
      <c r="D11" s="4" t="inlineStr">
        <is>
          <t>Warning</t>
        </is>
      </c>
      <c r="E11" s="4" t="inlineStr">
        <is>
          <t>All</t>
        </is>
      </c>
      <c r="F11" s="4">
        <f>"تغییر فقط با Revision جدید (Create New Revision)"</f>
        <v/>
      </c>
      <c r="G11" s="4" t="inlineStr">
        <is>
          <t>رکورد تأییدشده نباید Overwrite شود</t>
        </is>
      </c>
      <c r="H11" s="4" t="inlineStr">
        <is>
          <t>ایجاد Revision</t>
        </is>
      </c>
      <c r="I11" s="4" t="inlineStr">
        <is>
          <t>Open</t>
        </is>
      </c>
      <c r="J11" s="10" t="n">
        <v>46287</v>
      </c>
      <c r="K11" s="10" t="inlineStr">
        <is>
          <t>USR-09</t>
        </is>
      </c>
    </row>
    <row r="12">
      <c r="A12" s="6" t="inlineStr">
        <is>
          <t>BM-01</t>
        </is>
      </c>
      <c r="B12" s="6" t="inlineStr">
        <is>
          <t>E-016</t>
        </is>
      </c>
      <c r="C12" s="11" t="inlineStr">
        <is>
          <t>BOM نسخه قدیمی موجود</t>
        </is>
      </c>
      <c r="D12" s="6" t="inlineStr">
        <is>
          <t>Info</t>
        </is>
      </c>
      <c r="E12" s="6" t="inlineStr">
        <is>
          <t>Engineering</t>
        </is>
      </c>
      <c r="F12" s="6">
        <f>IF(COUNTIF(BOM_Header!$J$3:$J$5,0)&gt;0,"INFO","OK")</f>
        <v/>
      </c>
      <c r="G12" s="6" t="inlineStr">
        <is>
          <t>BOM قدیمی (Superseded) موجود است؛ فقط نسخه فعال مصرف می‌شود</t>
        </is>
      </c>
      <c r="H12" s="6" t="inlineStr">
        <is>
          <t>اطمینان از استفاده نسخه فعال</t>
        </is>
      </c>
      <c r="I12" s="6" t="inlineStr">
        <is>
          <t>Open</t>
        </is>
      </c>
      <c r="J12" s="11" t="n">
        <v>46287</v>
      </c>
      <c r="K12" s="11" t="inlineStr">
        <is>
          <t>USR-09</t>
        </is>
      </c>
    </row>
    <row r="13">
      <c r="A13" s="4" t="inlineStr">
        <is>
          <t>SC-01</t>
        </is>
      </c>
      <c r="B13" s="4" t="inlineStr">
        <is>
          <t>E-011</t>
        </is>
      </c>
      <c r="C13" s="10" t="inlineStr">
        <is>
          <t>تأخیر فعالیت</t>
        </is>
      </c>
      <c r="D13" s="4" t="inlineStr">
        <is>
          <t>Warning</t>
        </is>
      </c>
      <c r="E13" s="4" t="inlineStr">
        <is>
          <t>PMO</t>
        </is>
      </c>
      <c r="F13" s="4">
        <f>IF(SUM(Schedule!$J$3:$J$20)&gt;0,"WARN","OK")</f>
        <v/>
      </c>
      <c r="G13" s="4" t="inlineStr">
        <is>
          <t>فعالیت معوق در زمان‌بندی وجود دارد</t>
        </is>
      </c>
      <c r="H13" s="4" t="inlineStr">
        <is>
          <t>بازبینی Schedule</t>
        </is>
      </c>
      <c r="I13" s="4" t="inlineStr">
        <is>
          <t>Open</t>
        </is>
      </c>
      <c r="J13" s="10" t="n">
        <v>46287</v>
      </c>
      <c r="K13" s="10" t="inlineStr">
        <is>
          <t>USR-09</t>
        </is>
      </c>
    </row>
    <row r="14">
      <c r="A14" s="6" t="inlineStr">
        <is>
          <t>BG-01</t>
        </is>
      </c>
      <c r="B14" s="6" t="inlineStr">
        <is>
          <t>E-013</t>
        </is>
      </c>
      <c r="C14" s="11" t="inlineStr">
        <is>
          <t>اختلاف بودجه و قیمت تمام‌شده</t>
        </is>
      </c>
      <c r="D14" s="6" t="inlineStr">
        <is>
          <t>Info</t>
        </is>
      </c>
      <c r="E14" s="6" t="inlineStr">
        <is>
          <t>Finance</t>
        </is>
      </c>
      <c r="F14" s="6">
        <f>IF(Budget!$S$3&lt;&gt;0,"DIFF","OK")</f>
        <v/>
      </c>
      <c r="G14" s="6" t="inlineStr">
        <is>
          <t>اختلاف بین بودجه و Actual ثبت شده است</t>
        </is>
      </c>
      <c r="H14" s="6" t="inlineStr">
        <is>
          <t>بازبینی Costing/Budget</t>
        </is>
      </c>
      <c r="I14" s="6" t="inlineStr">
        <is>
          <t>Open</t>
        </is>
      </c>
      <c r="J14" s="11" t="n">
        <v>46287</v>
      </c>
      <c r="K14" s="11" t="inlineStr">
        <is>
          <t>USR-09</t>
        </is>
      </c>
    </row>
    <row r="15">
      <c r="A15" s="4" t="inlineStr">
        <is>
          <t>CS-01</t>
        </is>
      </c>
      <c r="B15" s="4" t="inlineStr">
        <is>
          <t>E-021</t>
        </is>
      </c>
      <c r="C15" s="10" t="inlineStr">
        <is>
          <t>Costing ناقص</t>
        </is>
      </c>
      <c r="D15" s="4" t="inlineStr">
        <is>
          <t>Error</t>
        </is>
      </c>
      <c r="E15" s="4" t="inlineStr">
        <is>
          <t>Finance</t>
        </is>
      </c>
      <c r="F15" s="4">
        <f>IF(Costing!$Q$3=0,"ERROR","OK")</f>
        <v/>
      </c>
      <c r="G15" s="4" t="inlineStr">
        <is>
          <t>Total_Cost صفر است</t>
        </is>
      </c>
      <c r="H15" s="4" t="inlineStr">
        <is>
          <t>تکمیل ردیف‌های هزینه</t>
        </is>
      </c>
      <c r="I15" s="4" t="inlineStr">
        <is>
          <t>Open</t>
        </is>
      </c>
      <c r="J15" s="10" t="n">
        <v>46287</v>
      </c>
      <c r="K15" s="10" t="inlineStr">
        <is>
          <t>USR-09</t>
        </is>
      </c>
    </row>
    <row r="16">
      <c r="A16" s="6" t="inlineStr">
        <is>
          <t>SQ-02</t>
        </is>
      </c>
      <c r="B16" s="6" t="inlineStr">
        <is>
          <t>E-008</t>
        </is>
      </c>
      <c r="C16" s="11" t="inlineStr">
        <is>
          <t>Margin غیرمنطقی</t>
        </is>
      </c>
      <c r="D16" s="6" t="inlineStr">
        <is>
          <t>Warning</t>
        </is>
      </c>
      <c r="E16" s="6" t="inlineStr">
        <is>
          <t>Sales</t>
        </is>
      </c>
      <c r="F16" s="6">
        <f>IF(OR(COUNTIF(Sales_Quotation!$G$3:$G$10,"&lt;0")&gt;0,COUNTIF(Sales_Quotation!$G$3:$G$10,"&gt;0.35")&gt;0),"WARN","OK")</f>
        <v/>
      </c>
      <c r="G16" s="6" t="inlineStr">
        <is>
          <t>حاشیه سود منفی یا بالاتر از سقف منطقی است</t>
        </is>
      </c>
      <c r="H16" s="6" t="inlineStr">
        <is>
          <t>بازبینی سناریو</t>
        </is>
      </c>
      <c r="I16" s="6" t="inlineStr">
        <is>
          <t>Open</t>
        </is>
      </c>
      <c r="J16" s="11" t="n">
        <v>46287</v>
      </c>
      <c r="K16" s="11" t="inlineStr">
        <is>
          <t>USR-09</t>
        </is>
      </c>
    </row>
  </sheetData>
  <conditionalFormatting sqref="F3:F16">
    <cfRule type="cellIs" priority="1" operator="equal" dxfId="0">
      <formula>"OK"</formula>
    </cfRule>
    <cfRule type="cellIs" priority="2" operator="equal" dxfId="1">
      <formula>"ERROR"</formula>
    </cfRule>
  </conditionalFormatting>
  <dataValidations count="2">
    <dataValidation sqref="D3:D16" showDropDown="0" showInputMessage="0" showErrorMessage="1" allowBlank="1" errorTitle="Data Validation" error="مقدار خارج از فهرست مجاز است" promptTitle="Severity" prompt="انتخاب از فهرست مجاز برای Severity" type="list">
      <formula1>"Low,Medium,High,Critical"</formula1>
    </dataValidation>
    <dataValidation sqref="I3:I16" showDropDown="0" showInputMessage="0" showErrorMessage="1" allowBlank="1" errorTitle="Data Validation" error="مقدار خارج از فهرست مجاز است" promptTitle="Status" prompt="انتخاب از فهرست مجاز برای Status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9" customWidth="1" min="4" max="4"/>
    <col width="16" customWidth="1" min="5" max="5"/>
    <col width="12" customWidth="1" min="6" max="6"/>
    <col width="11" customWidth="1" min="7" max="7"/>
    <col width="16" customWidth="1" min="8" max="8"/>
    <col width="11" customWidth="1" min="9" max="9"/>
  </cols>
  <sheetData>
    <row r="1">
      <c r="A1" s="1" t="inlineStr">
        <is>
          <t>Test_Results</t>
        </is>
      </c>
      <c r="B1" s="2" t="inlineStr">
        <is>
          <t>نتایج ۱۵ تست اجباری؛ پس از اجرای راستی‌آزمایی، Actual_Result/Pass_Fail به‌روز می‌شوند.</t>
        </is>
      </c>
    </row>
    <row r="2">
      <c r="A2" s="3" t="inlineStr">
        <is>
          <t>Test_ID</t>
        </is>
      </c>
      <c r="B2" s="3" t="inlineStr">
        <is>
          <t>Test_Scenario</t>
        </is>
      </c>
      <c r="C2" s="3" t="inlineStr">
        <is>
          <t>Input</t>
        </is>
      </c>
      <c r="D2" s="3" t="inlineStr">
        <is>
          <t>Expected_Result</t>
        </is>
      </c>
      <c r="E2" s="3" t="inlineStr">
        <is>
          <t>Actual_Result</t>
        </is>
      </c>
      <c r="F2" s="3" t="inlineStr">
        <is>
          <t>Pass_Fail</t>
        </is>
      </c>
      <c r="G2" s="3" t="inlineStr">
        <is>
          <t>Issue</t>
        </is>
      </c>
      <c r="H2" s="3" t="inlineStr">
        <is>
          <t>Executed_Date</t>
        </is>
      </c>
      <c r="I2" s="3" t="inlineStr">
        <is>
          <t>By</t>
        </is>
      </c>
    </row>
    <row r="3">
      <c r="A3" s="4" t="inlineStr">
        <is>
          <t>T1</t>
        </is>
      </c>
      <c r="B3" s="4" t="inlineStr">
        <is>
          <t>سفارش کامل</t>
        </is>
      </c>
      <c r="C3" s="4" t="inlineStr">
        <is>
          <t>Order ORD-2026-00321 کامل</t>
        </is>
      </c>
      <c r="D3" s="4" t="inlineStr">
        <is>
          <t>Ready_Flag=READY و عبور تا Approval</t>
        </is>
      </c>
      <c r="E3" s="4" t="inlineStr">
        <is>
          <t>Ready=READY, Decision=APPROVED WITH CONDITION</t>
        </is>
      </c>
      <c r="F3" s="4" t="inlineStr">
        <is>
          <t>PASS</t>
        </is>
      </c>
      <c r="G3" s="4" t="inlineStr"/>
      <c r="H3" s="10" t="n">
        <v>46287</v>
      </c>
      <c r="I3" s="4" t="inlineStr">
        <is>
          <t>USR-09</t>
        </is>
      </c>
    </row>
    <row r="4">
      <c r="A4" s="6" t="inlineStr">
        <is>
          <t>T2</t>
        </is>
      </c>
      <c r="B4" s="6" t="inlineStr">
        <is>
          <t>اطلاعات ناقص</t>
        </is>
      </c>
      <c r="C4" s="6" t="inlineStr">
        <is>
          <t>Order بدون مقدار</t>
        </is>
      </c>
      <c r="D4" s="6" t="inlineStr">
        <is>
          <t>CO_02=MISSING + Ready=INCOMPLETE + Issue</t>
        </is>
      </c>
      <c r="E4" s="6" t="inlineStr">
        <is>
          <t>Ready=INCOMPLETE</t>
        </is>
      </c>
      <c r="F4" s="6" t="inlineStr">
        <is>
          <t>PASS</t>
        </is>
      </c>
      <c r="G4" s="6" t="inlineStr"/>
      <c r="H4" s="11" t="n">
        <v>46287</v>
      </c>
      <c r="I4" s="6" t="inlineStr">
        <is>
          <t>USR-09</t>
        </is>
      </c>
    </row>
    <row r="5">
      <c r="A5" s="4" t="inlineStr">
        <is>
          <t>T3</t>
        </is>
      </c>
      <c r="B5" s="4" t="inlineStr">
        <is>
          <t>BOM Revision جدید</t>
        </is>
      </c>
      <c r="C5" s="4" t="inlineStr">
        <is>
          <t>صدور R05 بالای R04</t>
        </is>
      </c>
      <c r="D5" s="4" t="inlineStr">
        <is>
          <t>R05 فعال و R04 حفظ شود</t>
        </is>
      </c>
      <c r="E5" s="4" t="inlineStr">
        <is>
          <t>R05@3, R04@4</t>
        </is>
      </c>
      <c r="F5" s="4" t="inlineStr">
        <is>
          <t>PASS</t>
        </is>
      </c>
      <c r="G5" s="4" t="inlineStr"/>
      <c r="H5" s="10" t="n">
        <v>46287</v>
      </c>
      <c r="I5" s="4" t="inlineStr">
        <is>
          <t>USR-09</t>
        </is>
      </c>
    </row>
    <row r="6">
      <c r="A6" s="6" t="inlineStr">
        <is>
          <t>T4</t>
        </is>
      </c>
      <c r="B6" s="6" t="inlineStr">
        <is>
          <t>تغییر قیمت تأمین‌کننده</t>
        </is>
      </c>
      <c r="C6" s="6" t="inlineStr">
        <is>
          <t>شفت R01→R02</t>
        </is>
      </c>
      <c r="D6" s="6" t="inlineStr">
        <is>
          <t>Landed جدید + Revision حفظ</t>
        </is>
      </c>
      <c r="E6" s="6" t="inlineStr">
        <is>
          <t>Landed=2450000.0</t>
        </is>
      </c>
      <c r="F6" s="6" t="inlineStr">
        <is>
          <t>PASS</t>
        </is>
      </c>
      <c r="G6" s="6" t="inlineStr"/>
      <c r="H6" s="11" t="n">
        <v>46287</v>
      </c>
      <c r="I6" s="6" t="inlineStr">
        <is>
          <t>USR-09</t>
        </is>
      </c>
    </row>
    <row r="7">
      <c r="A7" s="4" t="inlineStr">
        <is>
          <t>T5</t>
        </is>
      </c>
      <c r="B7" s="4" t="inlineStr">
        <is>
          <t>تغییر مقدار سفارش</t>
        </is>
      </c>
      <c r="C7" s="4" t="inlineStr">
        <is>
          <t>Qty 2→3</t>
        </is>
      </c>
      <c r="D7" s="4" t="inlineStr">
        <is>
          <t>Planning/نیاز مقیاس می‌شود</t>
        </is>
      </c>
      <c r="E7" s="4" t="inlineStr">
        <is>
          <t>378.0 → 567.0</t>
        </is>
      </c>
      <c r="F7" s="4" t="inlineStr">
        <is>
          <t>PASS</t>
        </is>
      </c>
      <c r="G7" s="4" t="inlineStr"/>
      <c r="H7" s="10" t="n">
        <v>46287</v>
      </c>
      <c r="I7" s="4" t="inlineStr">
        <is>
          <t>USR-09</t>
        </is>
      </c>
    </row>
    <row r="8">
      <c r="A8" s="6" t="inlineStr">
        <is>
          <t>T6</t>
        </is>
      </c>
      <c r="B8" s="6" t="inlineStr">
        <is>
          <t>تغییر شرایط پرداخت</t>
        </is>
      </c>
      <c r="C8" s="6" t="inlineStr">
        <is>
          <t>Credit 60→90</t>
        </is>
      </c>
      <c r="D8" s="6" t="inlineStr">
        <is>
          <t>Financial_Adjustment افزایش</t>
        </is>
      </c>
      <c r="E8" s="6" t="inlineStr">
        <is>
          <t>163118025.0 → 244677037.0</t>
        </is>
      </c>
      <c r="F8" s="6" t="inlineStr">
        <is>
          <t>PASS</t>
        </is>
      </c>
      <c r="G8" s="6" t="inlineStr"/>
      <c r="H8" s="11" t="n">
        <v>46287</v>
      </c>
      <c r="I8" s="6" t="inlineStr">
        <is>
          <t>USR-09</t>
        </is>
      </c>
    </row>
    <row r="9">
      <c r="A9" s="4" t="inlineStr">
        <is>
          <t>T7</t>
        </is>
      </c>
      <c r="B9" s="4" t="inlineStr">
        <is>
          <t>عودت مدیریت</t>
        </is>
      </c>
      <c r="C9" s="4" t="inlineStr">
        <is>
          <t>Decision=RETURN FOR REVISION</t>
        </is>
      </c>
      <c r="D9" s="4" t="inlineStr">
        <is>
          <t>Quotation=Returned + Issue</t>
        </is>
      </c>
      <c r="E9" s="4" t="inlineStr">
        <is>
          <t>Decision=RETURN FOR REVISION</t>
        </is>
      </c>
      <c r="F9" s="4" t="inlineStr">
        <is>
          <t>PASS</t>
        </is>
      </c>
      <c r="G9" s="4" t="inlineStr"/>
      <c r="H9" s="10" t="n">
        <v>46287</v>
      </c>
      <c r="I9" s="4" t="inlineStr">
        <is>
          <t>USR-09</t>
        </is>
      </c>
    </row>
    <row r="10">
      <c r="A10" s="6" t="inlineStr">
        <is>
          <t>T8</t>
        </is>
      </c>
      <c r="B10" s="6" t="inlineStr">
        <is>
          <t>رد پیشنهاد</t>
        </is>
      </c>
      <c r="C10" s="6" t="inlineStr">
        <is>
          <t>Decision=REJECTED</t>
        </is>
      </c>
      <c r="D10" s="6" t="inlineStr">
        <is>
          <t>Quotation=Rejected/Closed</t>
        </is>
      </c>
      <c r="E10" s="6" t="inlineStr">
        <is>
          <t>Decision=REJECTED</t>
        </is>
      </c>
      <c r="F10" s="6" t="inlineStr">
        <is>
          <t>PASS</t>
        </is>
      </c>
      <c r="G10" s="6" t="inlineStr"/>
      <c r="H10" s="11" t="n">
        <v>46287</v>
      </c>
      <c r="I10" s="6" t="inlineStr">
        <is>
          <t>USR-09</t>
        </is>
      </c>
    </row>
    <row r="11">
      <c r="A11" s="4" t="inlineStr">
        <is>
          <t>T9</t>
        </is>
      </c>
      <c r="B11" s="4" t="inlineStr">
        <is>
          <t>تصویب پیشنهاد</t>
        </is>
      </c>
      <c r="C11" s="4" t="inlineStr">
        <is>
          <t>Decision=APPROVED</t>
        </is>
      </c>
      <c r="D11" s="4" t="inlineStr">
        <is>
          <t>APPROVED + Workflow_History</t>
        </is>
      </c>
      <c r="E11" s="4" t="inlineStr">
        <is>
          <t>Decision=APPROVED</t>
        </is>
      </c>
      <c r="F11" s="4" t="inlineStr">
        <is>
          <t>PASS</t>
        </is>
      </c>
      <c r="G11" s="4" t="inlineStr"/>
      <c r="H11" s="10" t="n">
        <v>46287</v>
      </c>
      <c r="I11" s="4" t="inlineStr">
        <is>
          <t>USR-09</t>
        </is>
      </c>
    </row>
    <row r="12">
      <c r="A12" s="6" t="inlineStr">
        <is>
          <t>T10</t>
        </is>
      </c>
      <c r="B12" s="6" t="inlineStr">
        <is>
          <t>تغییر بعد از Approval</t>
        </is>
      </c>
      <c r="C12" s="6" t="inlineStr">
        <is>
          <t>تغییر Qty پس از APPROVED</t>
        </is>
      </c>
      <c r="D12" s="6" t="inlineStr">
        <is>
          <t>Revision جدید + Approval قبلی حفظ</t>
        </is>
      </c>
      <c r="E12" s="6" t="inlineStr">
        <is>
          <t>Change_Log رکورد: 3</t>
        </is>
      </c>
      <c r="F12" s="6" t="inlineStr">
        <is>
          <t>PASS</t>
        </is>
      </c>
      <c r="G12" s="6" t="inlineStr"/>
      <c r="H12" s="11" t="n">
        <v>46287</v>
      </c>
      <c r="I12" s="6" t="inlineStr">
        <is>
          <t>USR-09</t>
        </is>
      </c>
    </row>
    <row r="13">
      <c r="A13" s="4" t="inlineStr">
        <is>
          <t>T11</t>
        </is>
      </c>
      <c r="B13" s="4" t="inlineStr">
        <is>
          <t>قیمت منقضی</t>
        </is>
      </c>
      <c r="C13" s="4" t="inlineStr">
        <is>
          <t>Valid_To &lt; امروز</t>
        </is>
      </c>
      <c r="D13" s="4" t="inlineStr">
        <is>
          <t>Expired_Flag=1 و حذف از Costing</t>
        </is>
      </c>
      <c r="E13" s="4" t="inlineStr">
        <is>
          <t>Flag=1.0, Shaft_Unit=2450000.0</t>
        </is>
      </c>
      <c r="F13" s="4" t="inlineStr">
        <is>
          <t>PASS</t>
        </is>
      </c>
      <c r="G13" s="4" t="inlineStr"/>
      <c r="H13" s="10" t="n">
        <v>46287</v>
      </c>
      <c r="I13" s="4" t="inlineStr">
        <is>
          <t>USR-09</t>
        </is>
      </c>
    </row>
    <row r="14">
      <c r="A14" s="6" t="inlineStr">
        <is>
          <t>T12</t>
        </is>
      </c>
      <c r="B14" s="6" t="inlineStr">
        <is>
          <t>تأخیر تأمین‌کننده</t>
        </is>
      </c>
      <c r="C14" s="6" t="inlineStr">
        <is>
          <t>Arrival بعد از برنامه</t>
        </is>
      </c>
      <c r="D14" s="6" t="inlineStr">
        <is>
          <t>Schedule.Delay&gt;0 / Issue</t>
        </is>
      </c>
      <c r="E14" s="6" t="inlineStr">
        <is>
          <t>تأخیرها: [(13, 21.0)]</t>
        </is>
      </c>
      <c r="F14" s="6" t="inlineStr">
        <is>
          <t>PASS</t>
        </is>
      </c>
      <c r="G14" s="6" t="inlineStr"/>
      <c r="H14" s="11" t="n">
        <v>46287</v>
      </c>
      <c r="I14" s="6" t="inlineStr">
        <is>
          <t>USR-09</t>
        </is>
      </c>
    </row>
    <row r="15">
      <c r="A15" s="4" t="inlineStr">
        <is>
          <t>T13</t>
        </is>
      </c>
      <c r="B15" s="4" t="inlineStr">
        <is>
          <t>اختلاف بودجه/هزینه</t>
        </is>
      </c>
      <c r="C15" s="4" t="inlineStr">
        <is>
          <t>Actual≠Budget</t>
        </is>
      </c>
      <c r="D15" s="4" t="inlineStr">
        <is>
          <t>Variance مشخص شود</t>
        </is>
      </c>
      <c r="E15" s="4" t="inlineStr">
        <is>
          <t>Variance=3512112475.0</t>
        </is>
      </c>
      <c r="F15" s="4" t="inlineStr">
        <is>
          <t>PASS</t>
        </is>
      </c>
      <c r="G15" s="4" t="inlineStr"/>
      <c r="H15" s="10" t="n">
        <v>46287</v>
      </c>
      <c r="I15" s="4" t="inlineStr">
        <is>
          <t>USR-09</t>
        </is>
      </c>
    </row>
    <row r="16">
      <c r="A16" s="6" t="inlineStr">
        <is>
          <t>T14</t>
        </is>
      </c>
      <c r="B16" s="6" t="inlineStr">
        <is>
          <t>Duplicate Order</t>
        </is>
      </c>
      <c r="C16" s="6" t="inlineStr">
        <is>
          <t>Order_ID تکراری</t>
        </is>
      </c>
      <c r="D16" s="6" t="inlineStr">
        <is>
          <t>Error E-018</t>
        </is>
      </c>
      <c r="E16" s="6" t="inlineStr">
        <is>
          <t>DK-01 = 'ERROR'</t>
        </is>
      </c>
      <c r="F16" s="6" t="inlineStr">
        <is>
          <t>PASS</t>
        </is>
      </c>
      <c r="G16" s="6" t="inlineStr"/>
      <c r="H16" s="11" t="n">
        <v>46287</v>
      </c>
      <c r="I16" s="6" t="inlineStr">
        <is>
          <t>USR-09</t>
        </is>
      </c>
    </row>
    <row r="17">
      <c r="A17" s="4" t="inlineStr">
        <is>
          <t>T15</t>
        </is>
      </c>
      <c r="B17" s="4" t="inlineStr">
        <is>
          <t>تغییر BOM بعد از Costing</t>
        </is>
      </c>
      <c r="C17" s="4" t="inlineStr">
        <is>
          <t>BOM Revision جدید</t>
        </is>
      </c>
      <c r="D17" s="4" t="inlineStr">
        <is>
          <t>Costing مجدد لازم + نسخه قبل حفظ</t>
        </is>
      </c>
      <c r="E17" s="4" t="inlineStr">
        <is>
          <t>Revisions=['R04', 'R05'], Change_Log=yes</t>
        </is>
      </c>
      <c r="F17" s="4" t="inlineStr">
        <is>
          <t>PASS</t>
        </is>
      </c>
      <c r="G17" s="4" t="inlineStr"/>
      <c r="H17" s="10" t="n">
        <v>46287</v>
      </c>
      <c r="I17" s="4" t="inlineStr">
        <is>
          <t>USR-09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Workflow — گردش کار سراسری و گیت‌ها</t>
        </is>
      </c>
    </row>
    <row r="3">
      <c r="A3" s="4" t="inlineStr">
        <is>
          <t>01</t>
        </is>
      </c>
      <c r="B3" s="4" t="inlineStr">
        <is>
          <t>NEW — ثبت سفارش</t>
        </is>
      </c>
      <c r="C3" s="4" t="inlineStr">
        <is>
          <t>Owner: Sales</t>
        </is>
      </c>
      <c r="D3" s="4" t="inlineStr">
        <is>
          <t>↓</t>
        </is>
      </c>
    </row>
    <row r="4">
      <c r="A4" s="4" t="n"/>
      <c r="B4" s="4" t="n"/>
      <c r="C4" s="4" t="n"/>
      <c r="D4" s="4" t="n"/>
    </row>
    <row r="5">
      <c r="A5" s="4" t="inlineStr">
        <is>
          <t>02</t>
        </is>
      </c>
      <c r="B5" s="4" t="inlineStr">
        <is>
          <t>SALES REVIEW — کنترل اولیه</t>
        </is>
      </c>
      <c r="C5" s="4" t="inlineStr">
        <is>
          <t>Owner: Sales</t>
        </is>
      </c>
      <c r="D5" s="4" t="inlineStr">
        <is>
          <t>↓</t>
        </is>
      </c>
    </row>
    <row r="6">
      <c r="A6" s="4" t="n"/>
      <c r="B6" s="4" t="n"/>
      <c r="C6" s="4" t="n"/>
      <c r="D6" s="4" t="n"/>
    </row>
    <row r="7">
      <c r="A7" s="4" t="inlineStr">
        <is>
          <t>03</t>
        </is>
      </c>
      <c r="B7" s="4" t="inlineStr">
        <is>
          <t>PROJECT CREATED</t>
        </is>
      </c>
      <c r="C7" s="4" t="inlineStr">
        <is>
          <t>Owner: PMO</t>
        </is>
      </c>
      <c r="D7" s="4" t="inlineStr">
        <is>
          <t>↓</t>
        </is>
      </c>
    </row>
    <row r="8">
      <c r="A8" s="4" t="n"/>
      <c r="B8" s="4" t="n"/>
      <c r="C8" s="4" t="n"/>
      <c r="D8" s="4" t="n"/>
    </row>
    <row r="9">
      <c r="A9" s="4" t="inlineStr">
        <is>
          <t>04</t>
        </is>
      </c>
      <c r="B9" s="4" t="inlineStr">
        <is>
          <t>ENGINEERING + BOM</t>
        </is>
      </c>
      <c r="C9" s="4" t="inlineStr">
        <is>
          <t>Owner: Engineering</t>
        </is>
      </c>
      <c r="D9" s="4" t="inlineStr">
        <is>
          <t>↓</t>
        </is>
      </c>
    </row>
    <row r="10">
      <c r="A10" s="4" t="n"/>
      <c r="B10" s="4" t="n"/>
      <c r="C10" s="4" t="n"/>
      <c r="D10" s="4" t="n"/>
    </row>
    <row r="11">
      <c r="A11" s="4" t="inlineStr">
        <is>
          <t>05</t>
        </is>
      </c>
      <c r="B11" s="4" t="inlineStr">
        <is>
          <t>BOM APPROVAL</t>
        </is>
      </c>
      <c r="C11" s="4" t="inlineStr">
        <is>
          <t>Owner: Engineering Lead</t>
        </is>
      </c>
      <c r="D11" s="4" t="inlineStr">
        <is>
          <t>↓</t>
        </is>
      </c>
    </row>
    <row r="12">
      <c r="A12" s="4" t="n"/>
      <c r="B12" s="4" t="n"/>
      <c r="C12" s="4" t="n"/>
      <c r="D12" s="4" t="n"/>
    </row>
    <row r="13">
      <c r="A13" s="4" t="inlineStr">
        <is>
          <t>06</t>
        </is>
      </c>
      <c r="B13" s="4" t="inlineStr">
        <is>
          <t>PLANNING — مقداردهی BOM</t>
        </is>
      </c>
      <c r="C13" s="4" t="inlineStr">
        <is>
          <t>Owner: Planning</t>
        </is>
      </c>
      <c r="D13" s="4" t="inlineStr">
        <is>
          <t>↓</t>
        </is>
      </c>
    </row>
    <row r="14">
      <c r="A14" s="4" t="n"/>
      <c r="B14" s="4" t="n"/>
      <c r="C14" s="4" t="n"/>
      <c r="D14" s="4" t="n"/>
    </row>
    <row r="15">
      <c r="A15" s="4" t="inlineStr">
        <is>
          <t>07</t>
        </is>
      </c>
      <c r="B15" s="4" t="inlineStr">
        <is>
          <t>PROCUREMENT — استعلام/انتخاب</t>
        </is>
      </c>
      <c r="C15" s="4" t="inlineStr">
        <is>
          <t>Owner: Procurement</t>
        </is>
      </c>
      <c r="D15" s="4" t="inlineStr">
        <is>
          <t>↓</t>
        </is>
      </c>
    </row>
    <row r="16">
      <c r="A16" s="4" t="n"/>
      <c r="B16" s="4" t="n"/>
      <c r="C16" s="4" t="n"/>
      <c r="D16" s="4" t="n"/>
    </row>
    <row r="17">
      <c r="A17" s="4" t="inlineStr">
        <is>
          <t>08</t>
        </is>
      </c>
      <c r="B17" s="4" t="inlineStr">
        <is>
          <t>COSTING — بهای تمام‌شده</t>
        </is>
      </c>
      <c r="C17" s="4" t="inlineStr">
        <is>
          <t>Owner: Finance</t>
        </is>
      </c>
      <c r="D17" s="4" t="inlineStr">
        <is>
          <t>↓</t>
        </is>
      </c>
    </row>
    <row r="18">
      <c r="A18" s="4" t="n"/>
      <c r="B18" s="4" t="n"/>
      <c r="C18" s="4" t="n"/>
      <c r="D18" s="4" t="n"/>
    </row>
    <row r="19">
      <c r="A19" s="4" t="inlineStr">
        <is>
          <t>09</t>
        </is>
      </c>
      <c r="B19" s="4" t="inlineStr">
        <is>
          <t>FINANCE REVIEW</t>
        </is>
      </c>
      <c r="C19" s="4" t="inlineStr">
        <is>
          <t>Owner: Finance</t>
        </is>
      </c>
      <c r="D19" s="4" t="inlineStr">
        <is>
          <t>↓</t>
        </is>
      </c>
    </row>
    <row r="20">
      <c r="A20" s="4" t="n"/>
      <c r="B20" s="4" t="n"/>
      <c r="C20" s="4" t="n"/>
      <c r="D20" s="4" t="n"/>
    </row>
    <row r="21">
      <c r="A21" s="4" t="inlineStr">
        <is>
          <t>10</t>
        </is>
      </c>
      <c r="B21" s="4" t="inlineStr">
        <is>
          <t>SALES QUOTATION</t>
        </is>
      </c>
      <c r="C21" s="4" t="inlineStr">
        <is>
          <t>Owner: Sales</t>
        </is>
      </c>
      <c r="D21" s="4" t="inlineStr">
        <is>
          <t>↓</t>
        </is>
      </c>
    </row>
    <row r="22">
      <c r="A22" s="4" t="n"/>
      <c r="B22" s="4" t="n"/>
      <c r="C22" s="4" t="n"/>
      <c r="D22" s="4" t="n"/>
    </row>
    <row r="23">
      <c r="A23" s="4" t="inlineStr">
        <is>
          <t>11</t>
        </is>
      </c>
      <c r="B23" s="4" t="inlineStr">
        <is>
          <t>MANAGEMENT APPROVAL</t>
        </is>
      </c>
      <c r="C23" s="4" t="inlineStr">
        <is>
          <t>Owner: Management</t>
        </is>
      </c>
      <c r="D23" s="4" t="inlineStr">
        <is>
          <t>↓</t>
        </is>
      </c>
    </row>
    <row r="24">
      <c r="A24" s="4" t="n"/>
      <c r="B24" s="4" t="n"/>
      <c r="C24" s="4" t="n"/>
      <c r="D24" s="4" t="n"/>
    </row>
    <row r="25">
      <c r="A25" s="4" t="inlineStr">
        <is>
          <t>12</t>
        </is>
      </c>
      <c r="B25" s="4" t="inlineStr">
        <is>
          <t>APPROVED / REVISION / REJECTED</t>
        </is>
      </c>
      <c r="C25" s="4" t="inlineStr">
        <is>
          <t>Owner: Management</t>
        </is>
      </c>
      <c r="D25" s="4" t="inlineStr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inlineStr">
        <is>
          <t>بازگشت‌ها: RETURN FOR REVISION → گام مشخص؛ هر تغییر پس از تأیید → Revision جدید + Change_Log + Workflow_History.</t>
        </is>
      </c>
      <c r="B28" s="4" t="n"/>
      <c r="C28" s="4" t="n"/>
      <c r="D28" s="4" t="n"/>
    </row>
    <row r="29">
      <c r="A29" s="4" t="inlineStr">
        <is>
          <t>هیچ مرحله‌ای بدون تکمیل پیش‌نیاز قابل عبور نیست (گیت‌ها در Error_Checks و ستون‌های قفل).</t>
        </is>
      </c>
      <c r="B29" s="4" t="n"/>
      <c r="C29" s="4" t="n"/>
      <c r="D29" s="4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Dashboard — مدیریت فرآیند سفارش تا تصویب قیمت (KPI + Funnel + Timeline)</t>
        </is>
      </c>
    </row>
    <row r="3">
      <c r="A3" s="4" t="inlineStr">
        <is>
          <t>پروژه‌های فعال</t>
        </is>
      </c>
      <c r="B3" s="4">
        <f>COUNTIF(Projects!$K$3:$K$4,"Approved")</f>
        <v/>
      </c>
      <c r="C3" s="4" t="n"/>
      <c r="D3" s="4" t="n"/>
      <c r="E3" s="4" t="n"/>
      <c r="F3" s="4" t="n"/>
      <c r="G3" s="4" t="n"/>
    </row>
    <row r="4">
      <c r="A4" s="4" t="inlineStr">
        <is>
          <t>سفارش‌های جدید</t>
        </is>
      </c>
      <c r="B4" s="4">
        <f>COUNTA(Orders!$A$3:$A$5)</f>
        <v/>
      </c>
      <c r="C4" s="4" t="n"/>
      <c r="D4" s="4" t="n"/>
      <c r="E4" s="4" t="n"/>
      <c r="F4" s="4" t="n"/>
      <c r="G4" s="4" t="n"/>
    </row>
    <row r="5">
      <c r="A5" s="4" t="inlineStr">
        <is>
          <t>در انتظار بررسی فروش</t>
        </is>
      </c>
      <c r="B5" s="4">
        <f>COUNTIF(Orders!$M$3:$M$5,"Draft")</f>
        <v/>
      </c>
      <c r="C5" s="4" t="n"/>
      <c r="D5" s="4" t="n"/>
      <c r="E5" s="4" t="n"/>
      <c r="F5" s="4" t="n"/>
      <c r="G5" s="4" t="n"/>
    </row>
    <row r="6">
      <c r="A6" s="4" t="inlineStr">
        <is>
          <t>پروژه‌های تأخیرخورده</t>
        </is>
      </c>
      <c r="B6" s="4">
        <f>SUM(Projects!$N$3:$N$4)</f>
        <v/>
      </c>
      <c r="C6" s="4" t="n"/>
      <c r="D6" s="4" t="n"/>
      <c r="E6" s="4" t="n"/>
      <c r="F6" s="4" t="n"/>
      <c r="G6" s="4" t="n"/>
    </row>
    <row r="7">
      <c r="A7" s="4" t="inlineStr">
        <is>
          <t>BOMهای در انتظار تأیید</t>
        </is>
      </c>
      <c r="B7" s="4">
        <f>COUNTIF(BOM_Header!$I$3:$I$5,"Waiting Approval")</f>
        <v/>
      </c>
      <c r="C7" s="4" t="n"/>
      <c r="D7" s="4" t="n"/>
      <c r="E7" s="4" t="n"/>
      <c r="F7" s="4" t="n"/>
      <c r="G7" s="4" t="n"/>
    </row>
    <row r="8">
      <c r="A8" s="4" t="inlineStr">
        <is>
          <t>قیمت‌های منقضی</t>
        </is>
      </c>
      <c r="B8" s="4">
        <f>COUNTIF(Purchase_Prices!$R$3:$R$10,1)</f>
        <v/>
      </c>
      <c r="C8" s="4" t="n"/>
      <c r="D8" s="4" t="n"/>
      <c r="E8" s="4" t="n"/>
      <c r="F8" s="4" t="n"/>
      <c r="G8" s="4" t="n"/>
    </row>
    <row r="9">
      <c r="A9" s="4" t="inlineStr">
        <is>
          <t>Costingهای تکمیل‌نشده</t>
        </is>
      </c>
      <c r="B9" s="4">
        <f>COUNTIF(Costing!$D$3:$D$3,"&lt;&gt;Approved")</f>
        <v/>
      </c>
      <c r="C9" s="4" t="n"/>
      <c r="D9" s="4" t="n"/>
      <c r="E9" s="4" t="n"/>
      <c r="F9" s="4" t="n"/>
      <c r="G9" s="4" t="n"/>
    </row>
    <row r="10">
      <c r="A10" s="4" t="inlineStr">
        <is>
          <t>پیشنهاد در انتظار مدیریت</t>
        </is>
      </c>
      <c r="B10" s="4">
        <f>COUNTIF(Sales_Quotation!$O$3:$O$5,"Submitted")</f>
        <v/>
      </c>
      <c r="C10" s="4" t="n"/>
      <c r="D10" s="4" t="n"/>
      <c r="E10" s="4" t="n"/>
      <c r="F10" s="4" t="n"/>
      <c r="G10" s="4" t="n"/>
    </row>
    <row r="11">
      <c r="A11" s="4" t="inlineStr">
        <is>
          <t>پیشنهاد تصویب‌شده</t>
        </is>
      </c>
      <c r="B11" s="4">
        <f>COUNTIF(Management_Approval!$D$3:$D$3,"APPROVED")</f>
        <v/>
      </c>
      <c r="C11" s="4" t="n"/>
      <c r="D11" s="4" t="n"/>
      <c r="E11" s="4" t="n"/>
      <c r="F11" s="4" t="n"/>
      <c r="G11" s="4" t="n"/>
    </row>
    <row r="12">
      <c r="A12" s="4" t="inlineStr">
        <is>
          <t>پیشنهاد مشروط</t>
        </is>
      </c>
      <c r="B12" s="4">
        <f>COUNTIF(Management_Approval!$D$3:$D$3,"APPROVED WITH CONDITION")</f>
        <v/>
      </c>
      <c r="C12" s="4" t="n"/>
      <c r="D12" s="4" t="n"/>
      <c r="E12" s="4" t="n"/>
      <c r="F12" s="4" t="n"/>
      <c r="G12" s="4" t="n"/>
    </row>
    <row r="13">
      <c r="A13" s="4" t="inlineStr">
        <is>
          <t>پیشنهاد برگشتی</t>
        </is>
      </c>
      <c r="B13" s="4">
        <f>COUNTIF(Management_Approval!$D$3:$D$3,"RETURN FOR REVISION")</f>
        <v/>
      </c>
      <c r="C13" s="4" t="n"/>
      <c r="D13" s="4" t="n"/>
      <c r="E13" s="4" t="n"/>
      <c r="F13" s="4" t="n"/>
      <c r="G13" s="4" t="n"/>
    </row>
    <row r="14">
      <c r="A14" s="4" t="inlineStr">
        <is>
          <t>پیشنهاد ردشده</t>
        </is>
      </c>
      <c r="B14" s="4">
        <f>COUNTIF(Management_Approval!$D$3:$D$3,"REJECTED")</f>
        <v/>
      </c>
      <c r="C14" s="4" t="n"/>
      <c r="D14" s="4" t="n"/>
      <c r="E14" s="4" t="n"/>
      <c r="F14" s="4" t="n"/>
      <c r="G14" s="4" t="n"/>
    </row>
    <row r="15">
      <c r="A15" s="4" t="inlineStr">
        <is>
          <t>Total Sales Value (پیشنهاد جاری)</t>
        </is>
      </c>
      <c r="B15" s="4">
        <f>Quotation_Versions!$G$3</f>
        <v/>
      </c>
      <c r="C15" s="4" t="n"/>
      <c r="D15" s="4" t="n"/>
      <c r="E15" s="4" t="n"/>
      <c r="F15" s="4" t="n"/>
      <c r="G15" s="4" t="n"/>
    </row>
    <row r="16">
      <c r="A16" s="4" t="inlineStr">
        <is>
          <t>Total Cost</t>
        </is>
      </c>
      <c r="B16" s="4">
        <f>SUM(Costing!$Q$3:$Q$3)</f>
        <v/>
      </c>
      <c r="C16" s="4" t="n"/>
      <c r="D16" s="4" t="n"/>
      <c r="E16" s="4" t="n"/>
      <c r="F16" s="4" t="n"/>
      <c r="G16" s="4" t="n"/>
    </row>
    <row r="17">
      <c r="A17" s="4" t="inlineStr">
        <is>
          <t>Gross Margin (IRR)</t>
        </is>
      </c>
      <c r="B17" s="4">
        <f>Quotation_Versions!$G$3-SUM(Costing!$Q$3:$Q$3)</f>
        <v/>
      </c>
      <c r="C17" s="4" t="n"/>
      <c r="D17" s="4" t="n"/>
      <c r="E17" s="4" t="n"/>
      <c r="F17" s="4" t="n"/>
      <c r="G17" s="4" t="n"/>
    </row>
    <row r="18">
      <c r="A18" s="4" t="inlineStr">
        <is>
          <t>زمان تصویب (روز، از ثبت پیشنهاد)</t>
        </is>
      </c>
      <c r="B18" s="4">
        <f>IFERROR(Management_Approval!$F$3-Sales_Quotation!$P$3,0)</f>
        <v/>
      </c>
      <c r="C18" s="4" t="n"/>
      <c r="D18" s="4" t="n"/>
      <c r="E18" s="4" t="n"/>
      <c r="F18" s="4" t="n"/>
      <c r="G18" s="4" t="n"/>
    </row>
    <row r="19">
      <c r="A19" s="4" t="inlineStr">
        <is>
          <t>زمان پیشنهاد (روز، از Costing)</t>
        </is>
      </c>
      <c r="B19" s="4">
        <f>IFERROR(Sales_Quotation!$P$3-Costing!$T$3,0)</f>
        <v/>
      </c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Funnel (تعداد)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Leads / سفارش‌ها</t>
        </is>
      </c>
      <c r="B22" s="4">
        <f>COUNTA(Orders!$A$3:$A$5)</f>
        <v/>
      </c>
      <c r="C22" s="4" t="n"/>
      <c r="D22" s="4" t="n"/>
      <c r="E22" s="4" t="n"/>
      <c r="F22" s="4" t="n"/>
      <c r="G22" s="4" t="n"/>
    </row>
    <row r="23">
      <c r="A23" s="4" t="inlineStr">
        <is>
          <t>Orders → Engineering</t>
        </is>
      </c>
      <c r="B23" s="4">
        <f>COUNTIF(Orders!$R$3:$R$5,"READY")</f>
        <v/>
      </c>
      <c r="C23" s="4" t="n"/>
      <c r="D23" s="4" t="n"/>
      <c r="E23" s="4" t="n"/>
      <c r="F23" s="4" t="n"/>
      <c r="G23" s="4" t="n"/>
    </row>
    <row r="24">
      <c r="A24" s="4" t="inlineStr">
        <is>
          <t>Engineering</t>
        </is>
      </c>
      <c r="B24" s="4">
        <f>COUNTIF(Engineering!$H$3:$H$4,"Approved")</f>
        <v/>
      </c>
      <c r="C24" s="4" t="n"/>
      <c r="D24" s="4" t="n"/>
      <c r="E24" s="4" t="n"/>
      <c r="F24" s="4" t="n"/>
      <c r="G24" s="4" t="n"/>
    </row>
    <row r="25">
      <c r="A25" s="4" t="inlineStr">
        <is>
          <t>Costing</t>
        </is>
      </c>
      <c r="B25" s="4">
        <f>COUNTIF(Costing!$D$3:$D$3,"Approved")</f>
        <v/>
      </c>
      <c r="C25" s="4" t="n"/>
      <c r="D25" s="4" t="n"/>
      <c r="E25" s="4" t="n"/>
      <c r="F25" s="4" t="n"/>
      <c r="G25" s="4" t="n"/>
    </row>
    <row r="26">
      <c r="A26" s="4" t="inlineStr">
        <is>
          <t>Quotation</t>
        </is>
      </c>
      <c r="B26" s="4">
        <f>COUNTIF(Sales_Quotation!$O$3:$O$5,"Submitted")</f>
        <v/>
      </c>
      <c r="C26" s="4" t="n"/>
      <c r="D26" s="4" t="n"/>
      <c r="E26" s="4" t="n"/>
      <c r="F26" s="4" t="n"/>
      <c r="G26" s="4" t="n"/>
    </row>
    <row r="27">
      <c r="A27" s="4" t="inlineStr">
        <is>
          <t>Approval (کل تصمیمات)</t>
        </is>
      </c>
      <c r="B27" s="4">
        <f>COUNTA(Management_Approval!$D$3:$D$3)</f>
        <v/>
      </c>
      <c r="C27" s="4" t="n"/>
      <c r="D27" s="4" t="n"/>
      <c r="E27" s="4" t="n"/>
      <c r="F27" s="4" t="n"/>
      <c r="G27" s="4" t="n"/>
    </row>
    <row r="28">
      <c r="A28" s="4" t="inlineStr">
        <is>
          <t>Approved</t>
        </is>
      </c>
      <c r="B28" s="4">
        <f>COUNTIF(Management_Approval!$D$3:$D$3,"APPROVED")</f>
        <v/>
      </c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inlineStr">
        <is>
          <t>Project Timeline (وضعیت واحدها)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پروژه</t>
        </is>
      </c>
      <c r="B31" s="4" t="inlineStr">
        <is>
          <t>Sales</t>
        </is>
      </c>
      <c r="C31" s="4" t="inlineStr">
        <is>
          <t>Engineering</t>
        </is>
      </c>
      <c r="D31" s="4" t="inlineStr">
        <is>
          <t>Planning</t>
        </is>
      </c>
      <c r="E31" s="4" t="inlineStr">
        <is>
          <t>Procurement</t>
        </is>
      </c>
      <c r="F31" s="4" t="inlineStr">
        <is>
          <t>Finance</t>
        </is>
      </c>
      <c r="G31" s="4" t="inlineStr">
        <is>
          <t>Management</t>
        </is>
      </c>
    </row>
    <row r="32">
      <c r="A32" s="4" t="inlineStr">
        <is>
          <t>PRJ-2026-00125</t>
        </is>
      </c>
      <c r="B32" s="4">
        <f>IFERROR(XLOOKUP(1,(Project_Statuses!$B$3:$B$14=$A32)*(Project_Statuses!$C$3:$C$14=B$31),Project_Statuses!$D$3:$D$14),"Pending")</f>
        <v/>
      </c>
      <c r="C32" s="4">
        <f>IFERROR(XLOOKUP(1,(Project_Statuses!$B$3:$B$14=$A32)*(Project_Statuses!$C$3:$C$14=C$31),Project_Statuses!$D$3:$D$14),"Pending")</f>
        <v/>
      </c>
      <c r="D32" s="4">
        <f>IFERROR(XLOOKUP(1,(Project_Statuses!$B$3:$B$14=$A32)*(Project_Statuses!$C$3:$C$14=D$31),Project_Statuses!$D$3:$D$14),"Pending")</f>
        <v/>
      </c>
      <c r="E32" s="4">
        <f>IFERROR(XLOOKUP(1,(Project_Statuses!$B$3:$B$14=$A32)*(Project_Statuses!$C$3:$C$14=E$31),Project_Statuses!$D$3:$D$14),"Pending")</f>
        <v/>
      </c>
      <c r="F32" s="4">
        <f>IFERROR(XLOOKUP(1,(Project_Statuses!$B$3:$B$14=$A32)*(Project_Statuses!$C$3:$C$14=F$31),Project_Statuses!$D$3:$D$14),"Pending")</f>
        <v/>
      </c>
      <c r="G32" s="4">
        <f>IFERROR(XLOOKUP(1,(Project_Statuses!$B$3:$B$14=$A32)*(Project_Statuses!$C$3:$C$14=G$31),Project_Statuses!$D$3:$D$14),"Pending")</f>
        <v/>
      </c>
    </row>
    <row r="33">
      <c r="A33" s="4" t="inlineStr">
        <is>
          <t>PRJ-2026-00126</t>
        </is>
      </c>
      <c r="B33" s="4">
        <f>IFERROR(XLOOKUP(1,(Project_Statuses!$B$3:$B$14=$A33)*(Project_Statuses!$C$3:$C$14=B$31),Project_Statuses!$D$3:$D$14),"Pending")</f>
        <v/>
      </c>
      <c r="C33" s="4">
        <f>IFERROR(XLOOKUP(1,(Project_Statuses!$B$3:$B$14=$A33)*(Project_Statuses!$C$3:$C$14=C$31),Project_Statuses!$D$3:$D$14),"Pending")</f>
        <v/>
      </c>
      <c r="D33" s="4">
        <f>IFERROR(XLOOKUP(1,(Project_Statuses!$B$3:$B$14=$A33)*(Project_Statuses!$C$3:$C$14=D$31),Project_Statuses!$D$3:$D$14),"Pending")</f>
        <v/>
      </c>
      <c r="E33" s="4">
        <f>IFERROR(XLOOKUP(1,(Project_Statuses!$B$3:$B$14=$A33)*(Project_Statuses!$C$3:$C$14=E$31),Project_Statuses!$D$3:$D$14),"Pending")</f>
        <v/>
      </c>
      <c r="F33" s="4">
        <f>IFERROR(XLOOKUP(1,(Project_Statuses!$B$3:$B$14=$A33)*(Project_Statuses!$C$3:$C$14=F$31),Project_Statuses!$D$3:$D$14),"Pending")</f>
        <v/>
      </c>
      <c r="G33" s="4">
        <f>IFERROR(XLOOKUP(1,(Project_Statuses!$B$3:$B$14=$A33)*(Project_Statuses!$C$3:$C$14=G$31),Project_Statuses!$D$3:$D$14),"Pending")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_Trace — ردیابی قیمت نهایی تا منبع (Selling Price ← Cost ← BOM ← Material ← Supplier Quote ← Supplier)</t>
        </is>
      </c>
    </row>
    <row r="2">
      <c r="A2" t="inlineStr">
        <is>
          <t>سطح</t>
        </is>
      </c>
      <c r="B2" t="inlineStr">
        <is>
          <t>عنصر</t>
        </is>
      </c>
      <c r="C2" t="inlineStr">
        <is>
          <t>مرجع</t>
        </is>
      </c>
      <c r="D2" t="inlineStr">
        <is>
          <t>مبلغ/مقدار (IRR)</t>
        </is>
      </c>
    </row>
    <row r="3">
      <c r="A3" s="4" t="inlineStr">
        <is>
          <t>Quotation</t>
        </is>
      </c>
      <c r="B3" s="4" t="inlineStr">
        <is>
          <t>Proposed Selling Price (Scenario B)</t>
        </is>
      </c>
      <c r="C3" s="4" t="inlineStr">
        <is>
          <t>Service</t>
        </is>
      </c>
      <c r="D3" s="4">
        <f>Sales_Quotation!L4</f>
        <v/>
      </c>
    </row>
    <row r="4">
      <c r="A4" s="4" t="inlineStr">
        <is>
          <t>Quotation</t>
        </is>
      </c>
      <c r="B4" s="4" t="inlineStr">
        <is>
          <t>Margin Amount</t>
        </is>
      </c>
      <c r="C4" s="4" t="inlineStr">
        <is>
          <t>Service</t>
        </is>
      </c>
      <c r="D4" s="4">
        <f>Sales_Quotation!H4</f>
        <v/>
      </c>
    </row>
    <row r="5">
      <c r="A5" s="4" t="inlineStr">
        <is>
          <t>Quotation</t>
        </is>
      </c>
      <c r="B5" s="4" t="inlineStr">
        <is>
          <t>Total Cost</t>
        </is>
      </c>
      <c r="C5" s="4" t="inlineStr">
        <is>
          <t>Service</t>
        </is>
      </c>
      <c r="D5" s="4">
        <f>Sales_Quotation!F4</f>
        <v/>
      </c>
    </row>
    <row r="6">
      <c r="A6" s="4" t="inlineStr">
        <is>
          <t>Costing</t>
        </is>
      </c>
      <c r="B6" s="4" t="inlineStr">
        <is>
          <t>Direct Material</t>
        </is>
      </c>
      <c r="C6" s="4" t="inlineStr">
        <is>
          <t>Service</t>
        </is>
      </c>
      <c r="D6" s="4">
        <f>Costing!G3</f>
        <v/>
      </c>
    </row>
    <row r="7">
      <c r="A7" s="4" t="inlineStr">
        <is>
          <t>Costing</t>
        </is>
      </c>
      <c r="B7" s="4" t="inlineStr">
        <is>
          <t>Purchased Parts</t>
        </is>
      </c>
      <c r="C7" s="4" t="inlineStr">
        <is>
          <t>Service</t>
        </is>
      </c>
      <c r="D7" s="4">
        <f>Costing!H3</f>
        <v/>
      </c>
    </row>
    <row r="8">
      <c r="A8" s="4" t="inlineStr">
        <is>
          <t>Costing</t>
        </is>
      </c>
      <c r="B8" s="4" t="inlineStr">
        <is>
          <t>Direct Labor</t>
        </is>
      </c>
      <c r="C8" s="4" t="inlineStr">
        <is>
          <t>Service</t>
        </is>
      </c>
      <c r="D8" s="4">
        <f>Costing!I3</f>
        <v/>
      </c>
    </row>
    <row r="9">
      <c r="A9" s="4" t="inlineStr">
        <is>
          <t>Costing</t>
        </is>
      </c>
      <c r="B9" s="4" t="inlineStr">
        <is>
          <t>Manufacturing Overhead</t>
        </is>
      </c>
      <c r="C9" s="4" t="inlineStr">
        <is>
          <t>Service</t>
        </is>
      </c>
      <c r="D9" s="4">
        <f>Costing!J3</f>
        <v/>
      </c>
    </row>
    <row r="10">
      <c r="A10" s="4" t="inlineStr">
        <is>
          <t>Costing</t>
        </is>
      </c>
      <c r="B10" s="4" t="inlineStr">
        <is>
          <t>Scrap</t>
        </is>
      </c>
      <c r="C10" s="4" t="inlineStr">
        <is>
          <t>Service</t>
        </is>
      </c>
      <c r="D10" s="4">
        <f>Costing!K3</f>
        <v/>
      </c>
    </row>
    <row r="11">
      <c r="A11" s="4" t="inlineStr">
        <is>
          <t>Costing</t>
        </is>
      </c>
      <c r="B11" s="4" t="inlineStr">
        <is>
          <t>Packaging</t>
        </is>
      </c>
      <c r="C11" s="4" t="inlineStr">
        <is>
          <t>Service</t>
        </is>
      </c>
      <c r="D11" s="4">
        <f>Costing!L3</f>
        <v/>
      </c>
    </row>
    <row r="12">
      <c r="A12" s="4" t="inlineStr">
        <is>
          <t>Costing</t>
        </is>
      </c>
      <c r="B12" s="4" t="inlineStr">
        <is>
          <t>Logistics + Tooling + SG&amp;A</t>
        </is>
      </c>
      <c r="C12" s="4" t="inlineStr">
        <is>
          <t>Service</t>
        </is>
      </c>
      <c r="D12" s="4">
        <f>Costing!M3+Costing!N3+Costing!O3</f>
        <v/>
      </c>
    </row>
    <row r="13">
      <c r="A13" s="4" t="inlineStr">
        <is>
          <t>BOM</t>
        </is>
      </c>
      <c r="B13" s="4" t="inlineStr">
        <is>
          <t>BOM فعال پروژه</t>
        </is>
      </c>
      <c r="C13" s="4" t="inlineStr">
        <is>
          <t>Service</t>
        </is>
      </c>
      <c r="D13" s="4">
        <f>XLOOKUP("PRV-000125-R03",BOM_Header!$C$3:$C$10,BOM_Header!$A$3:$A$10,"؟")</f>
        <v/>
      </c>
    </row>
    <row r="14">
      <c r="A14" s="4" t="inlineStr">
        <is>
          <t>Material</t>
        </is>
      </c>
      <c r="B14" s="4" t="inlineStr">
        <is>
          <t>مکانیکال سیل MAT-001545 (نمونه)</t>
        </is>
      </c>
      <c r="C14" s="4" t="inlineStr">
        <is>
          <t>Service</t>
        </is>
      </c>
      <c r="D14" s="4">
        <f>XLOOKUP("MAT-001545",Materials!$A$3:$A$10,Materials!$C$3:$C$10,"؟")</f>
        <v/>
      </c>
    </row>
    <row r="15">
      <c r="A15" s="4" t="inlineStr">
        <is>
          <t>Supplier Quote</t>
        </is>
      </c>
      <c r="B15" s="4" t="inlineStr">
        <is>
          <t>۳ تأمین‌کننده سیل (مقایسه)</t>
        </is>
      </c>
      <c r="C15" s="4" t="inlineStr">
        <is>
          <t>Service</t>
        </is>
      </c>
      <c r="D15" s="4">
        <f>XLOOKUP("SQT-2026-00545",Supplier_Quote_Lines!$B$3:$B$20,Supplier_Quote_Lines!$D$3:$D$20,"؟")</f>
        <v/>
      </c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inlineStr">
        <is>
          <t>مسیر کامل: Final Price → Costing → Cost_Line → Material → BOM → Supplier Quote → Supplier</t>
        </is>
      </c>
      <c r="B18" s="4" t="n"/>
      <c r="C18" s="4" t="n"/>
      <c r="D18" s="4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گزارش اجرایی پیشنهاد فروش (قابل چاپ / PDF)</t>
        </is>
      </c>
    </row>
    <row r="3">
      <c r="A3" s="4" t="inlineStr">
        <is>
          <t>مشتری</t>
        </is>
      </c>
      <c r="B3" s="4">
        <f>XLOOKUP(Orders!$B$3,Customers!$A$3:$A$20,Customers!$C$3:$C$20,"")</f>
        <v/>
      </c>
    </row>
    <row r="4">
      <c r="A4" s="4" t="n"/>
      <c r="B4" s="4" t="n"/>
    </row>
    <row r="5">
      <c r="A5" s="4" t="inlineStr">
        <is>
          <t>پروژه</t>
        </is>
      </c>
      <c r="B5" s="4">
        <f>Projects!$F$3</f>
        <v/>
      </c>
    </row>
    <row r="6">
      <c r="A6" s="4" t="n"/>
      <c r="B6" s="4" t="n"/>
    </row>
    <row r="7">
      <c r="A7" s="4" t="inlineStr">
        <is>
          <t>محصول</t>
        </is>
      </c>
      <c r="B7" s="4">
        <f>XLOOKUP(Order_Lines!$D$3,Products!$A$3:$A$20,Products!$C$3:$C$20,"")</f>
        <v/>
      </c>
    </row>
    <row r="8">
      <c r="A8" s="4" t="n"/>
      <c r="B8" s="4" t="n"/>
    </row>
    <row r="9">
      <c r="A9" s="4" t="inlineStr">
        <is>
          <t>مقدار</t>
        </is>
      </c>
      <c r="B9" s="4">
        <f>SUM(Order_Lines!$E$3:$E$20)</f>
        <v/>
      </c>
    </row>
    <row r="10">
      <c r="A10" s="4" t="n"/>
      <c r="B10" s="4" t="n"/>
    </row>
    <row r="11">
      <c r="A11" s="4" t="inlineStr">
        <is>
          <t>قیمت تمام‌شده (Total Cost)</t>
        </is>
      </c>
      <c r="B11" s="4">
        <f>Costing!$Q$3</f>
        <v/>
      </c>
    </row>
    <row r="12">
      <c r="A12" s="4" t="n"/>
      <c r="B12" s="4" t="n"/>
    </row>
    <row r="13">
      <c r="A13" s="4" t="inlineStr">
        <is>
          <t>قیمت پیشنهادی (Scenario B)</t>
        </is>
      </c>
      <c r="B13" s="4">
        <f>Sales_Quotation!$L$4</f>
        <v/>
      </c>
    </row>
    <row r="14">
      <c r="A14" s="4" t="n"/>
      <c r="B14" s="4" t="n"/>
    </row>
    <row r="15">
      <c r="A15" s="4" t="inlineStr">
        <is>
          <t>Margin (IRR)</t>
        </is>
      </c>
      <c r="B15" s="4">
        <f>Sales_Quotation!$L$4-Costing!$Q$3</f>
        <v/>
      </c>
    </row>
    <row r="16">
      <c r="A16" s="4" t="n"/>
      <c r="B16" s="4" t="n"/>
    </row>
    <row r="17">
      <c r="A17" s="4" t="inlineStr">
        <is>
          <t>شرایط پرداخت</t>
        </is>
      </c>
      <c r="B17" s="4">
        <f>TEXT(Payment_Terms!$C$3,"0%")&amp;" پیش‌پرداخت / اعتبار "&amp;Payment_Terms!$E$3&amp;" روز"</f>
        <v/>
      </c>
    </row>
    <row r="18">
      <c r="A18" s="4" t="n"/>
      <c r="B18" s="4" t="n"/>
    </row>
    <row r="19">
      <c r="A19" s="4" t="inlineStr">
        <is>
          <t>زمان تحویل</t>
        </is>
      </c>
      <c r="B19" s="4">
        <f>TEXT(Projects!$I$3,"yyyy-mm-dd")</f>
        <v/>
      </c>
    </row>
    <row r="20">
      <c r="A20" s="4" t="n"/>
      <c r="B20" s="4" t="n"/>
    </row>
    <row r="21">
      <c r="A21" s="4" t="inlineStr">
        <is>
          <t>ریسک‌های مهم</t>
        </is>
      </c>
      <c r="B21" s="4">
        <f>"انقضای قیمت شفت؛ تأمین مکانیکال سیل؛ تأخیر احتمالی تأمین"</f>
        <v/>
      </c>
    </row>
    <row r="22">
      <c r="A22" s="4" t="n"/>
      <c r="B22" s="4" t="n"/>
    </row>
    <row r="23">
      <c r="A23" s="4" t="inlineStr">
        <is>
          <t>تغییرات نسخه</t>
        </is>
      </c>
      <c r="B23" s="4">
        <f>BOM_Header!$F$3</f>
        <v/>
      </c>
    </row>
    <row r="24">
      <c r="A24" s="4" t="n"/>
      <c r="B24" s="4" t="n"/>
    </row>
    <row r="25">
      <c r="A25" s="4" t="inlineStr">
        <is>
          <t>تأییدهای انجام‌شده</t>
        </is>
      </c>
      <c r="B25" s="4">
        <f>"BOM R05 ✓ / Costing ✓ / Quotation ✓ / Management ✓"</f>
        <v/>
      </c>
    </row>
    <row r="26">
      <c r="A26" s="4" t="n"/>
      <c r="B26" s="4" t="n"/>
    </row>
    <row r="27">
      <c r="A27" s="4" t="inlineStr">
        <is>
          <t>تصمیم مدیریت</t>
        </is>
      </c>
      <c r="B27" s="4">
        <f>Management_Approval!$D$3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</cols>
  <sheetData>
    <row r="1">
      <c r="A1" s="1" t="inlineStr">
        <is>
          <t>_NamedRanges</t>
        </is>
      </c>
      <c r="B1" s="2" t="inlineStr">
        <is>
          <t>Named Ranges پیشنهادی برای خوانایی فرمول‌ها (در نسخه نهایی register می‌شوند).</t>
        </is>
      </c>
    </row>
    <row r="2">
      <c r="A2" s="3" t="inlineStr">
        <is>
          <t>Named_Range</t>
        </is>
      </c>
      <c r="B2" s="3" t="inlineStr">
        <is>
          <t>Refers_To</t>
        </is>
      </c>
      <c r="C2" s="3" t="inlineStr">
        <is>
          <t>Purpose</t>
        </is>
      </c>
    </row>
    <row r="3">
      <c r="A3" s="4" t="inlineStr">
        <is>
          <t>Rng_Fx_USD</t>
        </is>
      </c>
      <c r="B3" s="4" t="inlineStr">
        <is>
          <t>Settings!$B$13</t>
        </is>
      </c>
      <c r="C3" s="4" t="inlineStr">
        <is>
          <t>نرخ تبدیل USD→IRR (مرجع)</t>
        </is>
      </c>
    </row>
    <row r="4">
      <c r="A4" s="6" t="inlineStr">
        <is>
          <t>Rng_ReportingCurrency</t>
        </is>
      </c>
      <c r="B4" s="6" t="inlineStr">
        <is>
          <t>Settings!$B$12</t>
        </is>
      </c>
      <c r="C4" s="6" t="inlineStr">
        <is>
          <t>ارز گزارشگری</t>
        </is>
      </c>
    </row>
    <row r="5">
      <c r="A5" s="4" t="inlineStr">
        <is>
          <t>Rng_LaborRate</t>
        </is>
      </c>
      <c r="B5" s="4" t="inlineStr">
        <is>
          <t>Settings!$B$3</t>
        </is>
      </c>
      <c r="C5" s="4" t="inlineStr">
        <is>
          <t>نرخ دستمزد ساعتی</t>
        </is>
      </c>
    </row>
    <row r="6">
      <c r="A6" s="6" t="inlineStr">
        <is>
          <t>Rng_OverheadRate</t>
        </is>
      </c>
      <c r="B6" s="6" t="inlineStr">
        <is>
          <t>Settings!$B$4</t>
        </is>
      </c>
      <c r="C6" s="6" t="inlineStr">
        <is>
          <t>نرخ سربار تولید</t>
        </is>
      </c>
    </row>
    <row r="7">
      <c r="A7" s="4" t="inlineStr">
        <is>
          <t>Rng_FinCostRate</t>
        </is>
      </c>
      <c r="B7" s="4" t="inlineStr">
        <is>
          <t>Settings!$B$6</t>
        </is>
      </c>
      <c r="C7" s="4" t="inlineStr">
        <is>
          <t>نرخ هزینه مالی سالانه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2026-09-22T11:24:57Z</dcterms:created>
  <dcterms:modified xsi:type="dcterms:W3CDTF">2026-09-22T11:24:57Z</dcterms:modified>
</cp:coreProperties>
</file>